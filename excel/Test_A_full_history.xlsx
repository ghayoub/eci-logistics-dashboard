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KPIs" sheetId="2" state="visible" r:id="rId4"/>
    <sheet name="Targets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Default budget, used when the Targets sheet has no budget for that period.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Day: that day. Week: any day of the week (Monday is clearest). Month: the 1st. Quarter: 1st day of the quarter.</t>
        </r>
      </text>
    </comment>
    <comment ref="D1" authorId="0">
      <text>
        <r>
          <rPr>
            <sz val="10"/>
            <rFont val="Arial"/>
            <family val="2"/>
          </rPr>
          <t xml:space="preserve">Budget for the period. Percentages as 0.95. Edit any time.</t>
        </r>
      </text>
    </comment>
    <comment ref="E1" authorId="0">
      <text>
        <r>
          <rPr>
            <sz val="10"/>
            <rFont val="Arial"/>
            <family val="2"/>
          </rPr>
          <t xml:space="preserve">Latest forecast for the period – update it as often as you like. Leave empty if none.</t>
        </r>
      </text>
    </comment>
  </commentList>
</comments>
</file>

<file path=xl/sharedStrings.xml><?xml version="1.0" encoding="utf-8"?>
<sst xmlns="http://schemas.openxmlformats.org/spreadsheetml/2006/main" count="1269" uniqueCount="84">
  <si>
    <t xml:space="preserve">Test A – full history, daily October</t>
  </si>
  <si>
    <t xml:space="preserve">TEST FILE – invented figures, not real ECI data.</t>
  </si>
  <si>
    <t xml:space="preserve">Monthly back data up to Sep 2026, weekly back data up to W39, daily data from 01/10/2026 to 29/10/2026 (Monday–Friday).</t>
  </si>
  <si>
    <t xml:space="preserve">Same format as ECI_Logistics_KPI_Data.xlsx – see that file's Instructions sheet for the rules.</t>
  </si>
  <si>
    <t xml:space="preserve">KPI</t>
  </si>
  <si>
    <t xml:space="preserve">Unit</t>
  </si>
  <si>
    <t xml:space="preserve">Combine</t>
  </si>
  <si>
    <t xml:space="preserve">Numerator KPI</t>
  </si>
  <si>
    <t xml:space="preserve">Denominator KPI</t>
  </si>
  <si>
    <t xml:space="preserve">Target</t>
  </si>
  <si>
    <t xml:space="preserve">Better</t>
  </si>
  <si>
    <t xml:space="preserve">Shipments</t>
  </si>
  <si>
    <t xml:space="preserve">shipments</t>
  </si>
  <si>
    <t xml:space="preserve">Sum</t>
  </si>
  <si>
    <t xml:space="preserve">Higher</t>
  </si>
  <si>
    <t xml:space="preserve">Shipments on time</t>
  </si>
  <si>
    <t xml:space="preserve">OTIF</t>
  </si>
  <si>
    <t xml:space="preserve">%</t>
  </si>
  <si>
    <t xml:space="preserve">Ratio</t>
  </si>
  <si>
    <t xml:space="preserve">Trucks loaded</t>
  </si>
  <si>
    <t xml:space="preserve">trucks</t>
  </si>
  <si>
    <t xml:space="preserve">Receptions</t>
  </si>
  <si>
    <t xml:space="preserve">receptions</t>
  </si>
  <si>
    <t xml:space="preserve">Dock-to-stock time</t>
  </si>
  <si>
    <t xml:space="preserve">hours</t>
  </si>
  <si>
    <t xml:space="preserve">Average</t>
  </si>
  <si>
    <t xml:space="preserve">Lower</t>
  </si>
  <si>
    <t xml:space="preserve">Stock value</t>
  </si>
  <si>
    <t xml:space="preserve">MAD</t>
  </si>
  <si>
    <t xml:space="preserve">Last</t>
  </si>
  <si>
    <t xml:space="preserve">Date</t>
  </si>
  <si>
    <t xml:space="preserve">Level</t>
  </si>
  <si>
    <t xml:space="preserve">Budget</t>
  </si>
  <si>
    <t xml:space="preserve">Forecast</t>
  </si>
  <si>
    <t xml:space="preserve">Comment</t>
  </si>
  <si>
    <t xml:space="preserve">Period</t>
  </si>
  <si>
    <t xml:space="preserve">Month</t>
  </si>
  <si>
    <t xml:space="preserve">Budget / latest forecast</t>
  </si>
  <si>
    <t xml:space="preserve">Quarter</t>
  </si>
  <si>
    <t xml:space="preserve">Quarter target</t>
  </si>
  <si>
    <t xml:space="preserve">Value</t>
  </si>
  <si>
    <t xml:space="preserve">Week</t>
  </si>
  <si>
    <t xml:space="preserve">Back data</t>
  </si>
  <si>
    <t xml:space="preserve">Back data W01</t>
  </si>
  <si>
    <t xml:space="preserve">Back data W02</t>
  </si>
  <si>
    <t xml:space="preserve">Back data W03</t>
  </si>
  <si>
    <t xml:space="preserve">Back data W04</t>
  </si>
  <si>
    <t xml:space="preserve">Back data W05</t>
  </si>
  <si>
    <t xml:space="preserve">Back data W06</t>
  </si>
  <si>
    <t xml:space="preserve">Back data W07</t>
  </si>
  <si>
    <t xml:space="preserve">Back data W08</t>
  </si>
  <si>
    <t xml:space="preserve">Back data W09</t>
  </si>
  <si>
    <t xml:space="preserve">Back data W10</t>
  </si>
  <si>
    <t xml:space="preserve">Back data W11</t>
  </si>
  <si>
    <t xml:space="preserve">Back data W12</t>
  </si>
  <si>
    <t xml:space="preserve">Back data W13</t>
  </si>
  <si>
    <t xml:space="preserve">Back data W14</t>
  </si>
  <si>
    <t xml:space="preserve">Back data W15</t>
  </si>
  <si>
    <t xml:space="preserve">Back data W16</t>
  </si>
  <si>
    <t xml:space="preserve">Back data W17</t>
  </si>
  <si>
    <t xml:space="preserve">Back data W18</t>
  </si>
  <si>
    <t xml:space="preserve">Back data W19</t>
  </si>
  <si>
    <t xml:space="preserve">Back data W20</t>
  </si>
  <si>
    <t xml:space="preserve">Back data W21</t>
  </si>
  <si>
    <t xml:space="preserve">Back data W22</t>
  </si>
  <si>
    <t xml:space="preserve">Back data W23</t>
  </si>
  <si>
    <t xml:space="preserve">Back data W24</t>
  </si>
  <si>
    <t xml:space="preserve">Back data W25</t>
  </si>
  <si>
    <t xml:space="preserve">Back data W26</t>
  </si>
  <si>
    <t xml:space="preserve">Back data W27</t>
  </si>
  <si>
    <t xml:space="preserve">Back data W28</t>
  </si>
  <si>
    <t xml:space="preserve">Back data W29</t>
  </si>
  <si>
    <t xml:space="preserve">Back data W30</t>
  </si>
  <si>
    <t xml:space="preserve">Back data W31</t>
  </si>
  <si>
    <t xml:space="preserve">Back data W32</t>
  </si>
  <si>
    <t xml:space="preserve">Back data W33</t>
  </si>
  <si>
    <t xml:space="preserve">Back data W34</t>
  </si>
  <si>
    <t xml:space="preserve">Back data W35</t>
  </si>
  <si>
    <t xml:space="preserve">Back data W36</t>
  </si>
  <si>
    <t xml:space="preserve">Back data W37</t>
  </si>
  <si>
    <t xml:space="preserve">Back data W38</t>
  </si>
  <si>
    <t xml:space="preserve">Back data W39</t>
  </si>
  <si>
    <t xml:space="preserve">Day</t>
  </si>
  <si>
    <t xml:space="preserve">Late truck from carrier – customer informed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</si>
</sst>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dd/mm/yyyy"/>
    <numFmt numFmtId="167" formatCode="#,##0"/>
    <numFmt numFmtId="168" formatCode="0.0%"/>
    <numFmt numFmtId="169" formatCode="#,##0.##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4A556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7D6"/>
        <bgColor rgb="FFEEF1F6"/>
      </patternFill>
    </fill>
    <fill>
      <patternFill patternType="solid">
        <fgColor rgb="FFEEF1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2545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EF1F6"/>
          <bgColor rgb="FF000000"/>
        </patternFill>
      </fill>
    </dxf>
    <dxf>
      <fill>
        <patternFill patternType="solid">
          <fgColor rgb="FF4A556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EF1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2545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" displayName="Data" ref="A1:H415" headerRowCount="1" totalsRowCount="0" totalsRowShown="0">
  <autoFilter ref="A1:H415"/>
  <tableColumns count="8">
    <tableColumn id="1" name="Date"/>
    <tableColumn id="2" name="Level"/>
    <tableColumn id="3" name="KPI"/>
    <tableColumn id="4" name="Value"/>
    <tableColumn id="5" name="Comment"/>
    <tableColumn id="6" name="Week"/>
    <tableColumn id="7" name="Month"/>
    <tableColumn id="8" name="Quarter"/>
  </tableColumns>
</table>
</file>

<file path=xl/tables/table2.xml><?xml version="1.0" encoding="utf-8"?>
<table xmlns="http://schemas.openxmlformats.org/spreadsheetml/2006/main" id="2" name="KPIs" displayName="KPIs" ref="A1:G8" headerRowCount="1" totalsRowCount="0" totalsRowShown="0">
  <autoFilter ref="A1:G8"/>
  <tableColumns count="7">
    <tableColumn id="1" name="KPI"/>
    <tableColumn id="2" name="Unit"/>
    <tableColumn id="3" name="Combine"/>
    <tableColumn id="4" name="Numerator KPI"/>
    <tableColumn id="5" name="Denominator KPI"/>
    <tableColumn id="6" name="Target"/>
    <tableColumn id="7" name="Better"/>
  </tableColumns>
</table>
</file>

<file path=xl/tables/table3.xml><?xml version="1.0" encoding="utf-8"?>
<table xmlns="http://schemas.openxmlformats.org/spreadsheetml/2006/main" id="3" name="Targets" displayName="Targets" ref="A1:G41" headerRowCount="1" totalsRowCount="0" totalsRowShown="0">
  <autoFilter ref="A1:G41"/>
  <tableColumns count="7">
    <tableColumn id="1" name="Date"/>
    <tableColumn id="2" name="Level"/>
    <tableColumn id="3" name="KPI"/>
    <tableColumn id="4" name="Budget"/>
    <tableColumn id="5" name="Forecast"/>
    <tableColumn id="6" name="Comment"/>
    <tableColumn id="7" name="Perio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5" min="4" style="1" width="22"/>
    <col collapsed="false" customWidth="true" hidden="false" outlineLevel="0" max="6" min="6" style="1" width="12"/>
    <col collapsed="false" customWidth="true" hidden="false" outlineLevel="0" max="7" min="7" style="1" width="9"/>
  </cols>
  <sheetData>
    <row r="1" customFormat="false" ht="15" hidden="false" customHeight="true" outlineLevel="0" collapsed="false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</row>
    <row r="2" customFormat="false" ht="15" hidden="false" customHeight="true" outlineLevel="0" collapsed="false">
      <c r="A2" s="6" t="s">
        <v>11</v>
      </c>
      <c r="B2" s="6" t="s">
        <v>12</v>
      </c>
      <c r="C2" s="6" t="s">
        <v>13</v>
      </c>
      <c r="D2" s="6"/>
      <c r="E2" s="6"/>
      <c r="F2" s="6"/>
      <c r="G2" s="6" t="s">
        <v>14</v>
      </c>
    </row>
    <row r="3" customFormat="false" ht="15" hidden="false" customHeight="true" outlineLevel="0" collapsed="false">
      <c r="A3" s="6" t="s">
        <v>15</v>
      </c>
      <c r="B3" s="6" t="s">
        <v>12</v>
      </c>
      <c r="C3" s="6" t="s">
        <v>13</v>
      </c>
      <c r="D3" s="6"/>
      <c r="E3" s="6"/>
      <c r="F3" s="6"/>
      <c r="G3" s="6" t="s">
        <v>14</v>
      </c>
    </row>
    <row r="4" customFormat="false" ht="1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15</v>
      </c>
      <c r="E4" s="6" t="s">
        <v>11</v>
      </c>
      <c r="F4" s="7" t="n">
        <v>0.95</v>
      </c>
      <c r="G4" s="6" t="s">
        <v>14</v>
      </c>
    </row>
    <row r="5" customFormat="false" ht="15" hidden="false" customHeight="true" outlineLevel="0" collapsed="false">
      <c r="A5" s="6" t="s">
        <v>19</v>
      </c>
      <c r="B5" s="6" t="s">
        <v>20</v>
      </c>
      <c r="C5" s="6" t="s">
        <v>13</v>
      </c>
      <c r="D5" s="6"/>
      <c r="E5" s="6"/>
      <c r="F5" s="6"/>
      <c r="G5" s="6" t="s">
        <v>14</v>
      </c>
    </row>
    <row r="6" customFormat="false" ht="15" hidden="false" customHeight="true" outlineLevel="0" collapsed="false">
      <c r="A6" s="6" t="s">
        <v>21</v>
      </c>
      <c r="B6" s="6" t="s">
        <v>22</v>
      </c>
      <c r="C6" s="6" t="s">
        <v>13</v>
      </c>
      <c r="D6" s="6"/>
      <c r="E6" s="6"/>
      <c r="F6" s="6"/>
      <c r="G6" s="6" t="s">
        <v>14</v>
      </c>
    </row>
    <row r="7" customFormat="false" ht="15" hidden="false" customHeight="true" outlineLevel="0" collapsed="false">
      <c r="A7" s="6" t="s">
        <v>23</v>
      </c>
      <c r="B7" s="6" t="s">
        <v>24</v>
      </c>
      <c r="C7" s="6" t="s">
        <v>25</v>
      </c>
      <c r="D7" s="6"/>
      <c r="E7" s="6"/>
      <c r="F7" s="6" t="n">
        <v>24</v>
      </c>
      <c r="G7" s="6" t="s">
        <v>26</v>
      </c>
    </row>
    <row r="8" customFormat="false" ht="15" hidden="false" customHeight="true" outlineLevel="0" collapsed="false">
      <c r="A8" s="6" t="s">
        <v>27</v>
      </c>
      <c r="B8" s="6" t="s">
        <v>28</v>
      </c>
      <c r="C8" s="6" t="s">
        <v>29</v>
      </c>
      <c r="D8" s="6"/>
      <c r="E8" s="6"/>
      <c r="F8" s="6" t="n">
        <v>5000000</v>
      </c>
      <c r="G8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8" t="s">
        <v>30</v>
      </c>
      <c r="B1" s="8" t="s">
        <v>31</v>
      </c>
      <c r="C1" s="8" t="s">
        <v>4</v>
      </c>
      <c r="D1" s="8" t="s">
        <v>32</v>
      </c>
      <c r="E1" s="8" t="s">
        <v>33</v>
      </c>
      <c r="F1" s="8" t="s">
        <v>34</v>
      </c>
      <c r="G1" s="8" t="s">
        <v>35</v>
      </c>
    </row>
    <row r="2" customFormat="false" ht="15" hidden="false" customHeight="false" outlineLevel="0" collapsed="false">
      <c r="A2" s="9" t="n">
        <v>46023</v>
      </c>
      <c r="B2" s="10" t="s">
        <v>36</v>
      </c>
      <c r="C2" s="10" t="s">
        <v>11</v>
      </c>
      <c r="D2" s="11" t="n">
        <v>1150</v>
      </c>
      <c r="E2" s="11" t="n">
        <v>1110</v>
      </c>
      <c r="F2" s="10" t="s">
        <v>37</v>
      </c>
      <c r="G2" s="12" t="str">
        <f aca="false">IF(B2="Day",TEXT(A2,"dd/mm/yyyy"),IF(B2="Week","W"&amp;TEXT(WEEKNUM(A2,21),"00")&amp;" "&amp;YEAR(A2+3),IF(B2="Month",TEXT(A2,"mmm yyyy"),IF(B2="Quarter","Q"&amp;ROUNDUP(MONTH(A2)/3,0)&amp;" "&amp;YEAR(A2),""))))</f>
        <v>Jan 2026</v>
      </c>
    </row>
    <row r="3" customFormat="false" ht="15" hidden="false" customHeight="false" outlineLevel="0" collapsed="false">
      <c r="A3" s="9" t="n">
        <v>46023</v>
      </c>
      <c r="B3" s="10" t="s">
        <v>36</v>
      </c>
      <c r="C3" s="10" t="s">
        <v>19</v>
      </c>
      <c r="D3" s="11" t="n">
        <v>213</v>
      </c>
      <c r="E3" s="11" t="n">
        <v>217</v>
      </c>
      <c r="F3" s="10"/>
      <c r="G3" s="12" t="str">
        <f aca="false">IF(B3="Day",TEXT(A3,"dd/mm/yyyy"),IF(B3="Week","W"&amp;TEXT(WEEKNUM(A3,21),"00")&amp;" "&amp;YEAR(A3+3),IF(B3="Month",TEXT(A3,"mmm yyyy"),IF(B3="Quarter","Q"&amp;ROUNDUP(MONTH(A3)/3,0)&amp;" "&amp;YEAR(A3),""))))</f>
        <v>Jan 2026</v>
      </c>
    </row>
    <row r="4" customFormat="false" ht="15" hidden="false" customHeight="false" outlineLevel="0" collapsed="false">
      <c r="A4" s="9" t="n">
        <v>46023</v>
      </c>
      <c r="B4" s="10" t="s">
        <v>36</v>
      </c>
      <c r="C4" s="10" t="s">
        <v>27</v>
      </c>
      <c r="D4" s="11" t="n">
        <v>5200000</v>
      </c>
      <c r="E4" s="11" t="n">
        <v>5150000</v>
      </c>
      <c r="F4" s="10"/>
      <c r="G4" s="12" t="str">
        <f aca="false">IF(B4="Day",TEXT(A4,"dd/mm/yyyy"),IF(B4="Week","W"&amp;TEXT(WEEKNUM(A4,21),"00")&amp;" "&amp;YEAR(A4+3),IF(B4="Month",TEXT(A4,"mmm yyyy"),IF(B4="Quarter","Q"&amp;ROUNDUP(MONTH(A4)/3,0)&amp;" "&amp;YEAR(A4),""))))</f>
        <v>Jan 2026</v>
      </c>
    </row>
    <row r="5" customFormat="false" ht="15" hidden="false" customHeight="false" outlineLevel="0" collapsed="false">
      <c r="A5" s="9" t="n">
        <v>46054</v>
      </c>
      <c r="B5" s="10" t="s">
        <v>36</v>
      </c>
      <c r="C5" s="10" t="s">
        <v>11</v>
      </c>
      <c r="D5" s="11" t="n">
        <v>1180</v>
      </c>
      <c r="E5" s="11" t="n">
        <v>1150</v>
      </c>
      <c r="F5" s="10" t="s">
        <v>37</v>
      </c>
      <c r="G5" s="12" t="str">
        <f aca="false">IF(B5="Day",TEXT(A5,"dd/mm/yyyy"),IF(B5="Week","W"&amp;TEXT(WEEKNUM(A5,21),"00")&amp;" "&amp;YEAR(A5+3),IF(B5="Month",TEXT(A5,"mmm yyyy"),IF(B5="Quarter","Q"&amp;ROUNDUP(MONTH(A5)/3,0)&amp;" "&amp;YEAR(A5),""))))</f>
        <v>Feb 2026</v>
      </c>
    </row>
    <row r="6" customFormat="false" ht="15" hidden="false" customHeight="false" outlineLevel="0" collapsed="false">
      <c r="A6" s="9" t="n">
        <v>46054</v>
      </c>
      <c r="B6" s="10" t="s">
        <v>36</v>
      </c>
      <c r="C6" s="10" t="s">
        <v>19</v>
      </c>
      <c r="D6" s="11" t="n">
        <v>229</v>
      </c>
      <c r="E6" s="11" t="n">
        <v>221</v>
      </c>
      <c r="F6" s="10"/>
      <c r="G6" s="12" t="str">
        <f aca="false">IF(B6="Day",TEXT(A6,"dd/mm/yyyy"),IF(B6="Week","W"&amp;TEXT(WEEKNUM(A6,21),"00")&amp;" "&amp;YEAR(A6+3),IF(B6="Month",TEXT(A6,"mmm yyyy"),IF(B6="Quarter","Q"&amp;ROUNDUP(MONTH(A6)/3,0)&amp;" "&amp;YEAR(A6),""))))</f>
        <v>Feb 2026</v>
      </c>
    </row>
    <row r="7" customFormat="false" ht="15" hidden="false" customHeight="false" outlineLevel="0" collapsed="false">
      <c r="A7" s="9" t="n">
        <v>46054</v>
      </c>
      <c r="B7" s="10" t="s">
        <v>36</v>
      </c>
      <c r="C7" s="10" t="s">
        <v>27</v>
      </c>
      <c r="D7" s="11" t="n">
        <v>5200000</v>
      </c>
      <c r="E7" s="11" t="n">
        <v>5400000</v>
      </c>
      <c r="F7" s="10"/>
      <c r="G7" s="12" t="str">
        <f aca="false">IF(B7="Day",TEXT(A7,"dd/mm/yyyy"),IF(B7="Week","W"&amp;TEXT(WEEKNUM(A7,21),"00")&amp;" "&amp;YEAR(A7+3),IF(B7="Month",TEXT(A7,"mmm yyyy"),IF(B7="Quarter","Q"&amp;ROUNDUP(MONTH(A7)/3,0)&amp;" "&amp;YEAR(A7),""))))</f>
        <v>Feb 2026</v>
      </c>
    </row>
    <row r="8" customFormat="false" ht="15" hidden="false" customHeight="false" outlineLevel="0" collapsed="false">
      <c r="A8" s="9" t="n">
        <v>46082</v>
      </c>
      <c r="B8" s="10" t="s">
        <v>36</v>
      </c>
      <c r="C8" s="10" t="s">
        <v>11</v>
      </c>
      <c r="D8" s="11" t="n">
        <v>1350</v>
      </c>
      <c r="E8" s="11" t="n">
        <v>1300</v>
      </c>
      <c r="F8" s="10" t="s">
        <v>37</v>
      </c>
      <c r="G8" s="12" t="str">
        <f aca="false">IF(B8="Day",TEXT(A8,"dd/mm/yyyy"),IF(B8="Week","W"&amp;TEXT(WEEKNUM(A8,21),"00")&amp;" "&amp;YEAR(A8+3),IF(B8="Month",TEXT(A8,"mmm yyyy"),IF(B8="Quarter","Q"&amp;ROUNDUP(MONTH(A8)/3,0)&amp;" "&amp;YEAR(A8),""))))</f>
        <v>Mar 2026</v>
      </c>
    </row>
    <row r="9" customFormat="false" ht="15" hidden="false" customHeight="false" outlineLevel="0" collapsed="false">
      <c r="A9" s="9" t="n">
        <v>46082</v>
      </c>
      <c r="B9" s="10" t="s">
        <v>36</v>
      </c>
      <c r="C9" s="10" t="s">
        <v>19</v>
      </c>
      <c r="D9" s="11" t="n">
        <v>219</v>
      </c>
      <c r="E9" s="11" t="n">
        <v>218</v>
      </c>
      <c r="F9" s="10"/>
      <c r="G9" s="12" t="str">
        <f aca="false">IF(B9="Day",TEXT(A9,"dd/mm/yyyy"),IF(B9="Week","W"&amp;TEXT(WEEKNUM(A9,21),"00")&amp;" "&amp;YEAR(A9+3),IF(B9="Month",TEXT(A9,"mmm yyyy"),IF(B9="Quarter","Q"&amp;ROUNDUP(MONTH(A9)/3,0)&amp;" "&amp;YEAR(A9),""))))</f>
        <v>Mar 2026</v>
      </c>
    </row>
    <row r="10" customFormat="false" ht="15" hidden="false" customHeight="false" outlineLevel="0" collapsed="false">
      <c r="A10" s="9" t="n">
        <v>46082</v>
      </c>
      <c r="B10" s="10" t="s">
        <v>36</v>
      </c>
      <c r="C10" s="10" t="s">
        <v>27</v>
      </c>
      <c r="D10" s="11" t="n">
        <v>5200000</v>
      </c>
      <c r="E10" s="11" t="n">
        <v>5270000</v>
      </c>
      <c r="F10" s="10"/>
      <c r="G10" s="12" t="str">
        <f aca="false">IF(B10="Day",TEXT(A10,"dd/mm/yyyy"),IF(B10="Week","W"&amp;TEXT(WEEKNUM(A10,21),"00")&amp;" "&amp;YEAR(A10+3),IF(B10="Month",TEXT(A10,"mmm yyyy"),IF(B10="Quarter","Q"&amp;ROUNDUP(MONTH(A10)/3,0)&amp;" "&amp;YEAR(A10),""))))</f>
        <v>Mar 2026</v>
      </c>
    </row>
    <row r="11" customFormat="false" ht="15" hidden="false" customHeight="false" outlineLevel="0" collapsed="false">
      <c r="A11" s="9" t="n">
        <v>46113</v>
      </c>
      <c r="B11" s="10" t="s">
        <v>36</v>
      </c>
      <c r="C11" s="10" t="s">
        <v>11</v>
      </c>
      <c r="D11" s="11" t="n">
        <v>1450</v>
      </c>
      <c r="E11" s="11" t="n">
        <v>1390</v>
      </c>
      <c r="F11" s="10" t="s">
        <v>37</v>
      </c>
      <c r="G11" s="12" t="str">
        <f aca="false">IF(B11="Day",TEXT(A11,"dd/mm/yyyy"),IF(B11="Week","W"&amp;TEXT(WEEKNUM(A11,21),"00")&amp;" "&amp;YEAR(A11+3),IF(B11="Month",TEXT(A11,"mmm yyyy"),IF(B11="Quarter","Q"&amp;ROUNDUP(MONTH(A11)/3,0)&amp;" "&amp;YEAR(A11),""))))</f>
        <v>Apr 2026</v>
      </c>
    </row>
    <row r="12" customFormat="false" ht="15" hidden="false" customHeight="false" outlineLevel="0" collapsed="false">
      <c r="A12" s="9" t="n">
        <v>46113</v>
      </c>
      <c r="B12" s="10" t="s">
        <v>36</v>
      </c>
      <c r="C12" s="10" t="s">
        <v>19</v>
      </c>
      <c r="D12" s="11" t="n">
        <v>196</v>
      </c>
      <c r="E12" s="11" t="n">
        <v>205</v>
      </c>
      <c r="F12" s="10"/>
      <c r="G12" s="12" t="str">
        <f aca="false">IF(B12="Day",TEXT(A12,"dd/mm/yyyy"),IF(B12="Week","W"&amp;TEXT(WEEKNUM(A12,21),"00")&amp;" "&amp;YEAR(A12+3),IF(B12="Month",TEXT(A12,"mmm yyyy"),IF(B12="Quarter","Q"&amp;ROUNDUP(MONTH(A12)/3,0)&amp;" "&amp;YEAR(A12),""))))</f>
        <v>Apr 2026</v>
      </c>
    </row>
    <row r="13" customFormat="false" ht="15" hidden="false" customHeight="false" outlineLevel="0" collapsed="false">
      <c r="A13" s="9" t="n">
        <v>46113</v>
      </c>
      <c r="B13" s="10" t="s">
        <v>36</v>
      </c>
      <c r="C13" s="10" t="s">
        <v>27</v>
      </c>
      <c r="D13" s="11" t="n">
        <v>5200000</v>
      </c>
      <c r="E13" s="11" t="n">
        <v>5260000</v>
      </c>
      <c r="F13" s="10"/>
      <c r="G13" s="12" t="str">
        <f aca="false">IF(B13="Day",TEXT(A13,"dd/mm/yyyy"),IF(B13="Week","W"&amp;TEXT(WEEKNUM(A13,21),"00")&amp;" "&amp;YEAR(A13+3),IF(B13="Month",TEXT(A13,"mmm yyyy"),IF(B13="Quarter","Q"&amp;ROUNDUP(MONTH(A13)/3,0)&amp;" "&amp;YEAR(A13),""))))</f>
        <v>Apr 2026</v>
      </c>
    </row>
    <row r="14" customFormat="false" ht="15" hidden="false" customHeight="false" outlineLevel="0" collapsed="false">
      <c r="A14" s="9" t="n">
        <v>46143</v>
      </c>
      <c r="B14" s="10" t="s">
        <v>36</v>
      </c>
      <c r="C14" s="10" t="s">
        <v>11</v>
      </c>
      <c r="D14" s="11" t="n">
        <v>1210</v>
      </c>
      <c r="E14" s="11" t="n">
        <v>1190</v>
      </c>
      <c r="F14" s="10" t="s">
        <v>37</v>
      </c>
      <c r="G14" s="12" t="str">
        <f aca="false">IF(B14="Day",TEXT(A14,"dd/mm/yyyy"),IF(B14="Week","W"&amp;TEXT(WEEKNUM(A14,21),"00")&amp;" "&amp;YEAR(A14+3),IF(B14="Month",TEXT(A14,"mmm yyyy"),IF(B14="Quarter","Q"&amp;ROUNDUP(MONTH(A14)/3,0)&amp;" "&amp;YEAR(A14),""))))</f>
        <v>May 2026</v>
      </c>
    </row>
    <row r="15" customFormat="false" ht="15" hidden="false" customHeight="false" outlineLevel="0" collapsed="false">
      <c r="A15" s="9" t="n">
        <v>46143</v>
      </c>
      <c r="B15" s="10" t="s">
        <v>36</v>
      </c>
      <c r="C15" s="10" t="s">
        <v>19</v>
      </c>
      <c r="D15" s="11" t="n">
        <v>211</v>
      </c>
      <c r="E15" s="11" t="n">
        <v>221</v>
      </c>
      <c r="F15" s="10"/>
      <c r="G15" s="12" t="str">
        <f aca="false">IF(B15="Day",TEXT(A15,"dd/mm/yyyy"),IF(B15="Week","W"&amp;TEXT(WEEKNUM(A15,21),"00")&amp;" "&amp;YEAR(A15+3),IF(B15="Month",TEXT(A15,"mmm yyyy"),IF(B15="Quarter","Q"&amp;ROUNDUP(MONTH(A15)/3,0)&amp;" "&amp;YEAR(A15),""))))</f>
        <v>May 2026</v>
      </c>
    </row>
    <row r="16" customFormat="false" ht="15" hidden="false" customHeight="false" outlineLevel="0" collapsed="false">
      <c r="A16" s="9" t="n">
        <v>46143</v>
      </c>
      <c r="B16" s="10" t="s">
        <v>36</v>
      </c>
      <c r="C16" s="10" t="s">
        <v>27</v>
      </c>
      <c r="D16" s="11" t="n">
        <v>5200000</v>
      </c>
      <c r="E16" s="11" t="n">
        <v>5180000</v>
      </c>
      <c r="F16" s="10"/>
      <c r="G16" s="12" t="str">
        <f aca="false">IF(B16="Day",TEXT(A16,"dd/mm/yyyy"),IF(B16="Week","W"&amp;TEXT(WEEKNUM(A16,21),"00")&amp;" "&amp;YEAR(A16+3),IF(B16="Month",TEXT(A16,"mmm yyyy"),IF(B16="Quarter","Q"&amp;ROUNDUP(MONTH(A16)/3,0)&amp;" "&amp;YEAR(A16),""))))</f>
        <v>May 2026</v>
      </c>
    </row>
    <row r="17" customFormat="false" ht="15" hidden="false" customHeight="false" outlineLevel="0" collapsed="false">
      <c r="A17" s="9" t="n">
        <v>46174</v>
      </c>
      <c r="B17" s="10" t="s">
        <v>36</v>
      </c>
      <c r="C17" s="10" t="s">
        <v>11</v>
      </c>
      <c r="D17" s="11" t="n">
        <v>1220</v>
      </c>
      <c r="E17" s="11" t="n">
        <v>1230</v>
      </c>
      <c r="F17" s="10" t="s">
        <v>37</v>
      </c>
      <c r="G17" s="12" t="str">
        <f aca="false">IF(B17="Day",TEXT(A17,"dd/mm/yyyy"),IF(B17="Week","W"&amp;TEXT(WEEKNUM(A17,21),"00")&amp;" "&amp;YEAR(A17+3),IF(B17="Month",TEXT(A17,"mmm yyyy"),IF(B17="Quarter","Q"&amp;ROUNDUP(MONTH(A17)/3,0)&amp;" "&amp;YEAR(A17),""))))</f>
        <v>Jun 2026</v>
      </c>
    </row>
    <row r="18" customFormat="false" ht="15" hidden="false" customHeight="false" outlineLevel="0" collapsed="false">
      <c r="A18" s="9" t="n">
        <v>46174</v>
      </c>
      <c r="B18" s="10" t="s">
        <v>36</v>
      </c>
      <c r="C18" s="10" t="s">
        <v>19</v>
      </c>
      <c r="D18" s="11" t="n">
        <v>220</v>
      </c>
      <c r="E18" s="11" t="n">
        <v>230</v>
      </c>
      <c r="F18" s="10"/>
      <c r="G18" s="12" t="str">
        <f aca="false">IF(B18="Day",TEXT(A18,"dd/mm/yyyy"),IF(B18="Week","W"&amp;TEXT(WEEKNUM(A18,21),"00")&amp;" "&amp;YEAR(A18+3),IF(B18="Month",TEXT(A18,"mmm yyyy"),IF(B18="Quarter","Q"&amp;ROUNDUP(MONTH(A18)/3,0)&amp;" "&amp;YEAR(A18),""))))</f>
        <v>Jun 2026</v>
      </c>
    </row>
    <row r="19" customFormat="false" ht="15" hidden="false" customHeight="false" outlineLevel="0" collapsed="false">
      <c r="A19" s="9" t="n">
        <v>46174</v>
      </c>
      <c r="B19" s="10" t="s">
        <v>36</v>
      </c>
      <c r="C19" s="10" t="s">
        <v>27</v>
      </c>
      <c r="D19" s="11" t="n">
        <v>5200000</v>
      </c>
      <c r="E19" s="11" t="n">
        <v>5440000</v>
      </c>
      <c r="F19" s="10"/>
      <c r="G19" s="12" t="str">
        <f aca="false">IF(B19="Day",TEXT(A19,"dd/mm/yyyy"),IF(B19="Week","W"&amp;TEXT(WEEKNUM(A19,21),"00")&amp;" "&amp;YEAR(A19+3),IF(B19="Month",TEXT(A19,"mmm yyyy"),IF(B19="Quarter","Q"&amp;ROUNDUP(MONTH(A19)/3,0)&amp;" "&amp;YEAR(A19),""))))</f>
        <v>Jun 2026</v>
      </c>
    </row>
    <row r="20" customFormat="false" ht="15" hidden="false" customHeight="false" outlineLevel="0" collapsed="false">
      <c r="A20" s="9" t="n">
        <v>46204</v>
      </c>
      <c r="B20" s="10" t="s">
        <v>36</v>
      </c>
      <c r="C20" s="10" t="s">
        <v>11</v>
      </c>
      <c r="D20" s="11" t="n">
        <v>1260</v>
      </c>
      <c r="E20" s="11" t="n">
        <v>1220</v>
      </c>
      <c r="F20" s="10" t="s">
        <v>37</v>
      </c>
      <c r="G20" s="12" t="str">
        <f aca="false">IF(B20="Day",TEXT(A20,"dd/mm/yyyy"),IF(B20="Week","W"&amp;TEXT(WEEKNUM(A20,21),"00")&amp;" "&amp;YEAR(A20+3),IF(B20="Month",TEXT(A20,"mmm yyyy"),IF(B20="Quarter","Q"&amp;ROUNDUP(MONTH(A20)/3,0)&amp;" "&amp;YEAR(A20),""))))</f>
        <v>Jul 2026</v>
      </c>
    </row>
    <row r="21" customFormat="false" ht="15" hidden="false" customHeight="false" outlineLevel="0" collapsed="false">
      <c r="A21" s="9" t="n">
        <v>46204</v>
      </c>
      <c r="B21" s="10" t="s">
        <v>36</v>
      </c>
      <c r="C21" s="10" t="s">
        <v>19</v>
      </c>
      <c r="D21" s="11" t="n">
        <v>233</v>
      </c>
      <c r="E21" s="11" t="n">
        <v>244</v>
      </c>
      <c r="F21" s="10"/>
      <c r="G21" s="12" t="str">
        <f aca="false">IF(B21="Day",TEXT(A21,"dd/mm/yyyy"),IF(B21="Week","W"&amp;TEXT(WEEKNUM(A21,21),"00")&amp;" "&amp;YEAR(A21+3),IF(B21="Month",TEXT(A21,"mmm yyyy"),IF(B21="Quarter","Q"&amp;ROUNDUP(MONTH(A21)/3,0)&amp;" "&amp;YEAR(A21),""))))</f>
        <v>Jul 2026</v>
      </c>
    </row>
    <row r="22" customFormat="false" ht="15" hidden="false" customHeight="false" outlineLevel="0" collapsed="false">
      <c r="A22" s="9" t="n">
        <v>46204</v>
      </c>
      <c r="B22" s="10" t="s">
        <v>36</v>
      </c>
      <c r="C22" s="10" t="s">
        <v>27</v>
      </c>
      <c r="D22" s="11" t="n">
        <v>5000000</v>
      </c>
      <c r="E22" s="11" t="n">
        <v>4910000</v>
      </c>
      <c r="F22" s="10"/>
      <c r="G22" s="12" t="str">
        <f aca="false">IF(B22="Day",TEXT(A22,"dd/mm/yyyy"),IF(B22="Week","W"&amp;TEXT(WEEKNUM(A22,21),"00")&amp;" "&amp;YEAR(A22+3),IF(B22="Month",TEXT(A22,"mmm yyyy"),IF(B22="Quarter","Q"&amp;ROUNDUP(MONTH(A22)/3,0)&amp;" "&amp;YEAR(A22),""))))</f>
        <v>Jul 2026</v>
      </c>
    </row>
    <row r="23" customFormat="false" ht="15" hidden="false" customHeight="false" outlineLevel="0" collapsed="false">
      <c r="A23" s="9" t="n">
        <v>46235</v>
      </c>
      <c r="B23" s="10" t="s">
        <v>36</v>
      </c>
      <c r="C23" s="10" t="s">
        <v>11</v>
      </c>
      <c r="D23" s="11" t="n">
        <v>1370</v>
      </c>
      <c r="E23" s="11" t="n">
        <v>1420</v>
      </c>
      <c r="F23" s="10" t="s">
        <v>37</v>
      </c>
      <c r="G23" s="12" t="str">
        <f aca="false">IF(B23="Day",TEXT(A23,"dd/mm/yyyy"),IF(B23="Week","W"&amp;TEXT(WEEKNUM(A23,21),"00")&amp;" "&amp;YEAR(A23+3),IF(B23="Month",TEXT(A23,"mmm yyyy"),IF(B23="Quarter","Q"&amp;ROUNDUP(MONTH(A23)/3,0)&amp;" "&amp;YEAR(A23),""))))</f>
        <v>Aug 2026</v>
      </c>
    </row>
    <row r="24" customFormat="false" ht="15" hidden="false" customHeight="false" outlineLevel="0" collapsed="false">
      <c r="A24" s="9" t="n">
        <v>46235</v>
      </c>
      <c r="B24" s="10" t="s">
        <v>36</v>
      </c>
      <c r="C24" s="10" t="s">
        <v>19</v>
      </c>
      <c r="D24" s="11" t="n">
        <v>224</v>
      </c>
      <c r="E24" s="11" t="n">
        <v>218</v>
      </c>
      <c r="F24" s="10"/>
      <c r="G24" s="12" t="str">
        <f aca="false">IF(B24="Day",TEXT(A24,"dd/mm/yyyy"),IF(B24="Week","W"&amp;TEXT(WEEKNUM(A24,21),"00")&amp;" "&amp;YEAR(A24+3),IF(B24="Month",TEXT(A24,"mmm yyyy"),IF(B24="Quarter","Q"&amp;ROUNDUP(MONTH(A24)/3,0)&amp;" "&amp;YEAR(A24),""))))</f>
        <v>Aug 2026</v>
      </c>
    </row>
    <row r="25" customFormat="false" ht="15" hidden="false" customHeight="false" outlineLevel="0" collapsed="false">
      <c r="A25" s="9" t="n">
        <v>46235</v>
      </c>
      <c r="B25" s="10" t="s">
        <v>36</v>
      </c>
      <c r="C25" s="10" t="s">
        <v>27</v>
      </c>
      <c r="D25" s="11" t="n">
        <v>5000000</v>
      </c>
      <c r="E25" s="11" t="n">
        <v>5220000</v>
      </c>
      <c r="F25" s="10"/>
      <c r="G25" s="12" t="str">
        <f aca="false">IF(B25="Day",TEXT(A25,"dd/mm/yyyy"),IF(B25="Week","W"&amp;TEXT(WEEKNUM(A25,21),"00")&amp;" "&amp;YEAR(A25+3),IF(B25="Month",TEXT(A25,"mmm yyyy"),IF(B25="Quarter","Q"&amp;ROUNDUP(MONTH(A25)/3,0)&amp;" "&amp;YEAR(A25),""))))</f>
        <v>Aug 2026</v>
      </c>
    </row>
    <row r="26" customFormat="false" ht="15" hidden="false" customHeight="false" outlineLevel="0" collapsed="false">
      <c r="A26" s="9" t="n">
        <v>46266</v>
      </c>
      <c r="B26" s="10" t="s">
        <v>36</v>
      </c>
      <c r="C26" s="10" t="s">
        <v>11</v>
      </c>
      <c r="D26" s="11" t="n">
        <v>1370</v>
      </c>
      <c r="E26" s="11" t="n">
        <v>1330</v>
      </c>
      <c r="F26" s="10" t="s">
        <v>37</v>
      </c>
      <c r="G26" s="12" t="str">
        <f aca="false">IF(B26="Day",TEXT(A26,"dd/mm/yyyy"),IF(B26="Week","W"&amp;TEXT(WEEKNUM(A26,21),"00")&amp;" "&amp;YEAR(A26+3),IF(B26="Month",TEXT(A26,"mmm yyyy"),IF(B26="Quarter","Q"&amp;ROUNDUP(MONTH(A26)/3,0)&amp;" "&amp;YEAR(A26),""))))</f>
        <v>Sep 2026</v>
      </c>
    </row>
    <row r="27" customFormat="false" ht="15" hidden="false" customHeight="false" outlineLevel="0" collapsed="false">
      <c r="A27" s="9" t="n">
        <v>46266</v>
      </c>
      <c r="B27" s="10" t="s">
        <v>36</v>
      </c>
      <c r="C27" s="10" t="s">
        <v>19</v>
      </c>
      <c r="D27" s="11" t="n">
        <v>224</v>
      </c>
      <c r="E27" s="11" t="n">
        <v>218</v>
      </c>
      <c r="F27" s="10"/>
      <c r="G27" s="12" t="str">
        <f aca="false">IF(B27="Day",TEXT(A27,"dd/mm/yyyy"),IF(B27="Week","W"&amp;TEXT(WEEKNUM(A27,21),"00")&amp;" "&amp;YEAR(A27+3),IF(B27="Month",TEXT(A27,"mmm yyyy"),IF(B27="Quarter","Q"&amp;ROUNDUP(MONTH(A27)/3,0)&amp;" "&amp;YEAR(A27),""))))</f>
        <v>Sep 2026</v>
      </c>
    </row>
    <row r="28" customFormat="false" ht="15" hidden="false" customHeight="false" outlineLevel="0" collapsed="false">
      <c r="A28" s="9" t="n">
        <v>46266</v>
      </c>
      <c r="B28" s="10" t="s">
        <v>36</v>
      </c>
      <c r="C28" s="10" t="s">
        <v>27</v>
      </c>
      <c r="D28" s="11" t="n">
        <v>5000000</v>
      </c>
      <c r="E28" s="11" t="n">
        <v>4920000</v>
      </c>
      <c r="F28" s="10"/>
      <c r="G28" s="12" t="str">
        <f aca="false">IF(B28="Day",TEXT(A28,"dd/mm/yyyy"),IF(B28="Week","W"&amp;TEXT(WEEKNUM(A28,21),"00")&amp;" "&amp;YEAR(A28+3),IF(B28="Month",TEXT(A28,"mmm yyyy"),IF(B28="Quarter","Q"&amp;ROUNDUP(MONTH(A28)/3,0)&amp;" "&amp;YEAR(A28),""))))</f>
        <v>Sep 2026</v>
      </c>
    </row>
    <row r="29" customFormat="false" ht="15" hidden="false" customHeight="false" outlineLevel="0" collapsed="false">
      <c r="A29" s="9" t="n">
        <v>46296</v>
      </c>
      <c r="B29" s="10" t="s">
        <v>36</v>
      </c>
      <c r="C29" s="10" t="s">
        <v>11</v>
      </c>
      <c r="D29" s="11" t="n">
        <v>1250</v>
      </c>
      <c r="E29" s="11" t="n">
        <v>1230</v>
      </c>
      <c r="F29" s="10" t="s">
        <v>37</v>
      </c>
      <c r="G29" s="12" t="str">
        <f aca="false">IF(B29="Day",TEXT(A29,"dd/mm/yyyy"),IF(B29="Week","W"&amp;TEXT(WEEKNUM(A29,21),"00")&amp;" "&amp;YEAR(A29+3),IF(B29="Month",TEXT(A29,"mmm yyyy"),IF(B29="Quarter","Q"&amp;ROUNDUP(MONTH(A29)/3,0)&amp;" "&amp;YEAR(A29),""))))</f>
        <v>Oct 2026</v>
      </c>
    </row>
    <row r="30" customFormat="false" ht="15" hidden="false" customHeight="false" outlineLevel="0" collapsed="false">
      <c r="A30" s="9" t="n">
        <v>46296</v>
      </c>
      <c r="B30" s="10" t="s">
        <v>36</v>
      </c>
      <c r="C30" s="10" t="s">
        <v>19</v>
      </c>
      <c r="D30" s="11" t="n">
        <v>213</v>
      </c>
      <c r="E30" s="11" t="n">
        <v>216</v>
      </c>
      <c r="F30" s="10"/>
      <c r="G30" s="12" t="str">
        <f aca="false">IF(B30="Day",TEXT(A30,"dd/mm/yyyy"),IF(B30="Week","W"&amp;TEXT(WEEKNUM(A30,21),"00")&amp;" "&amp;YEAR(A30+3),IF(B30="Month",TEXT(A30,"mmm yyyy"),IF(B30="Quarter","Q"&amp;ROUNDUP(MONTH(A30)/3,0)&amp;" "&amp;YEAR(A30),""))))</f>
        <v>Oct 2026</v>
      </c>
    </row>
    <row r="31" customFormat="false" ht="15" hidden="false" customHeight="false" outlineLevel="0" collapsed="false">
      <c r="A31" s="9" t="n">
        <v>46296</v>
      </c>
      <c r="B31" s="10" t="s">
        <v>36</v>
      </c>
      <c r="C31" s="10" t="s">
        <v>27</v>
      </c>
      <c r="D31" s="11" t="n">
        <v>4800000</v>
      </c>
      <c r="E31" s="11" t="n">
        <v>5030000</v>
      </c>
      <c r="F31" s="10"/>
      <c r="G31" s="12" t="str">
        <f aca="false">IF(B31="Day",TEXT(A31,"dd/mm/yyyy"),IF(B31="Week","W"&amp;TEXT(WEEKNUM(A31,21),"00")&amp;" "&amp;YEAR(A31+3),IF(B31="Month",TEXT(A31,"mmm yyyy"),IF(B31="Quarter","Q"&amp;ROUNDUP(MONTH(A31)/3,0)&amp;" "&amp;YEAR(A31),""))))</f>
        <v>Oct 2026</v>
      </c>
    </row>
    <row r="32" customFormat="false" ht="15" hidden="false" customHeight="false" outlineLevel="0" collapsed="false">
      <c r="A32" s="9" t="n">
        <v>46327</v>
      </c>
      <c r="B32" s="10" t="s">
        <v>36</v>
      </c>
      <c r="C32" s="10" t="s">
        <v>11</v>
      </c>
      <c r="D32" s="11" t="n">
        <v>1440</v>
      </c>
      <c r="E32" s="11" t="n">
        <v>1510</v>
      </c>
      <c r="F32" s="10" t="s">
        <v>37</v>
      </c>
      <c r="G32" s="12" t="str">
        <f aca="false">IF(B32="Day",TEXT(A32,"dd/mm/yyyy"),IF(B32="Week","W"&amp;TEXT(WEEKNUM(A32,21),"00")&amp;" "&amp;YEAR(A32+3),IF(B32="Month",TEXT(A32,"mmm yyyy"),IF(B32="Quarter","Q"&amp;ROUNDUP(MONTH(A32)/3,0)&amp;" "&amp;YEAR(A32),""))))</f>
        <v>Nov 2026</v>
      </c>
    </row>
    <row r="33" customFormat="false" ht="15" hidden="false" customHeight="false" outlineLevel="0" collapsed="false">
      <c r="A33" s="9" t="n">
        <v>46327</v>
      </c>
      <c r="B33" s="10" t="s">
        <v>36</v>
      </c>
      <c r="C33" s="10" t="s">
        <v>19</v>
      </c>
      <c r="D33" s="11" t="n">
        <v>240</v>
      </c>
      <c r="E33" s="11" t="n">
        <v>247</v>
      </c>
      <c r="F33" s="10"/>
      <c r="G33" s="12" t="str">
        <f aca="false">IF(B33="Day",TEXT(A33,"dd/mm/yyyy"),IF(B33="Week","W"&amp;TEXT(WEEKNUM(A33,21),"00")&amp;" "&amp;YEAR(A33+3),IF(B33="Month",TEXT(A33,"mmm yyyy"),IF(B33="Quarter","Q"&amp;ROUNDUP(MONTH(A33)/3,0)&amp;" "&amp;YEAR(A33),""))))</f>
        <v>Nov 2026</v>
      </c>
    </row>
    <row r="34" customFormat="false" ht="15" hidden="false" customHeight="false" outlineLevel="0" collapsed="false">
      <c r="A34" s="9" t="n">
        <v>46327</v>
      </c>
      <c r="B34" s="10" t="s">
        <v>36</v>
      </c>
      <c r="C34" s="10" t="s">
        <v>27</v>
      </c>
      <c r="D34" s="11" t="n">
        <v>4800000</v>
      </c>
      <c r="E34" s="11" t="n">
        <v>4820000</v>
      </c>
      <c r="F34" s="10"/>
      <c r="G34" s="12" t="str">
        <f aca="false">IF(B34="Day",TEXT(A34,"dd/mm/yyyy"),IF(B34="Week","W"&amp;TEXT(WEEKNUM(A34,21),"00")&amp;" "&amp;YEAR(A34+3),IF(B34="Month",TEXT(A34,"mmm yyyy"),IF(B34="Quarter","Q"&amp;ROUNDUP(MONTH(A34)/3,0)&amp;" "&amp;YEAR(A34),""))))</f>
        <v>Nov 2026</v>
      </c>
    </row>
    <row r="35" customFormat="false" ht="15" hidden="false" customHeight="false" outlineLevel="0" collapsed="false">
      <c r="A35" s="9" t="n">
        <v>46357</v>
      </c>
      <c r="B35" s="10" t="s">
        <v>36</v>
      </c>
      <c r="C35" s="10" t="s">
        <v>11</v>
      </c>
      <c r="D35" s="11" t="n">
        <v>1200</v>
      </c>
      <c r="E35" s="11" t="n">
        <v>1210</v>
      </c>
      <c r="F35" s="10" t="s">
        <v>37</v>
      </c>
      <c r="G35" s="12" t="str">
        <f aca="false">IF(B35="Day",TEXT(A35,"dd/mm/yyyy"),IF(B35="Week","W"&amp;TEXT(WEEKNUM(A35,21),"00")&amp;" "&amp;YEAR(A35+3),IF(B35="Month",TEXT(A35,"mmm yyyy"),IF(B35="Quarter","Q"&amp;ROUNDUP(MONTH(A35)/3,0)&amp;" "&amp;YEAR(A35),""))))</f>
        <v>Dec 2026</v>
      </c>
    </row>
    <row r="36" customFormat="false" ht="15" hidden="false" customHeight="false" outlineLevel="0" collapsed="false">
      <c r="A36" s="9" t="n">
        <v>46357</v>
      </c>
      <c r="B36" s="10" t="s">
        <v>36</v>
      </c>
      <c r="C36" s="10" t="s">
        <v>19</v>
      </c>
      <c r="D36" s="11" t="n">
        <v>220</v>
      </c>
      <c r="E36" s="11" t="n">
        <v>224</v>
      </c>
      <c r="F36" s="10"/>
      <c r="G36" s="12" t="str">
        <f aca="false">IF(B36="Day",TEXT(A36,"dd/mm/yyyy"),IF(B36="Week","W"&amp;TEXT(WEEKNUM(A36,21),"00")&amp;" "&amp;YEAR(A36+3),IF(B36="Month",TEXT(A36,"mmm yyyy"),IF(B36="Quarter","Q"&amp;ROUNDUP(MONTH(A36)/3,0)&amp;" "&amp;YEAR(A36),""))))</f>
        <v>Dec 2026</v>
      </c>
    </row>
    <row r="37" customFormat="false" ht="15" hidden="false" customHeight="false" outlineLevel="0" collapsed="false">
      <c r="A37" s="9" t="n">
        <v>46357</v>
      </c>
      <c r="B37" s="10" t="s">
        <v>36</v>
      </c>
      <c r="C37" s="10" t="s">
        <v>27</v>
      </c>
      <c r="D37" s="11" t="n">
        <v>4800000</v>
      </c>
      <c r="E37" s="11" t="n">
        <v>4740000</v>
      </c>
      <c r="F37" s="10"/>
      <c r="G37" s="12" t="str">
        <f aca="false">IF(B37="Day",TEXT(A37,"dd/mm/yyyy"),IF(B37="Week","W"&amp;TEXT(WEEKNUM(A37,21),"00")&amp;" "&amp;YEAR(A37+3),IF(B37="Month",TEXT(A37,"mmm yyyy"),IF(B37="Quarter","Q"&amp;ROUNDUP(MONTH(A37)/3,0)&amp;" "&amp;YEAR(A37),""))))</f>
        <v>Dec 2026</v>
      </c>
    </row>
    <row r="38" customFormat="false" ht="15" hidden="false" customHeight="false" outlineLevel="0" collapsed="false">
      <c r="A38" s="9" t="n">
        <v>46023</v>
      </c>
      <c r="B38" s="10" t="s">
        <v>38</v>
      </c>
      <c r="C38" s="10" t="s">
        <v>16</v>
      </c>
      <c r="D38" s="13" t="n">
        <v>0.94</v>
      </c>
      <c r="E38" s="13" t="n">
        <v>0.935</v>
      </c>
      <c r="F38" s="10" t="s">
        <v>39</v>
      </c>
      <c r="G38" s="12" t="str">
        <f aca="false">IF(B38="Day",TEXT(A38,"dd/mm/yyyy"),IF(B38="Week","W"&amp;TEXT(WEEKNUM(A38,21),"00")&amp;" "&amp;YEAR(A38+3),IF(B38="Month",TEXT(A38,"mmm yyyy"),IF(B38="Quarter","Q"&amp;ROUNDUP(MONTH(A38)/3,0)&amp;" "&amp;YEAR(A38),""))))</f>
        <v>Q1 2026</v>
      </c>
    </row>
    <row r="39" customFormat="false" ht="15" hidden="false" customHeight="false" outlineLevel="0" collapsed="false">
      <c r="A39" s="9" t="n">
        <v>46113</v>
      </c>
      <c r="B39" s="10" t="s">
        <v>38</v>
      </c>
      <c r="C39" s="10" t="s">
        <v>16</v>
      </c>
      <c r="D39" s="13" t="n">
        <v>0.94</v>
      </c>
      <c r="E39" s="13" t="n">
        <v>0.935</v>
      </c>
      <c r="F39" s="10" t="s">
        <v>39</v>
      </c>
      <c r="G39" s="12" t="str">
        <f aca="false">IF(B39="Day",TEXT(A39,"dd/mm/yyyy"),IF(B39="Week","W"&amp;TEXT(WEEKNUM(A39,21),"00")&amp;" "&amp;YEAR(A39+3),IF(B39="Month",TEXT(A39,"mmm yyyy"),IF(B39="Quarter","Q"&amp;ROUNDUP(MONTH(A39)/3,0)&amp;" "&amp;YEAR(A39),""))))</f>
        <v>Q2 2026</v>
      </c>
    </row>
    <row r="40" customFormat="false" ht="15" hidden="false" customHeight="false" outlineLevel="0" collapsed="false">
      <c r="A40" s="9" t="n">
        <v>46204</v>
      </c>
      <c r="B40" s="10" t="s">
        <v>38</v>
      </c>
      <c r="C40" s="10" t="s">
        <v>16</v>
      </c>
      <c r="D40" s="13" t="n">
        <v>0.95</v>
      </c>
      <c r="E40" s="13" t="n">
        <v>0.945</v>
      </c>
      <c r="F40" s="10" t="s">
        <v>39</v>
      </c>
      <c r="G40" s="12" t="str">
        <f aca="false">IF(B40="Day",TEXT(A40,"dd/mm/yyyy"),IF(B40="Week","W"&amp;TEXT(WEEKNUM(A40,21),"00")&amp;" "&amp;YEAR(A40+3),IF(B40="Month",TEXT(A40,"mmm yyyy"),IF(B40="Quarter","Q"&amp;ROUNDUP(MONTH(A40)/3,0)&amp;" "&amp;YEAR(A40),""))))</f>
        <v>Q3 2026</v>
      </c>
    </row>
    <row r="41" customFormat="false" ht="15" hidden="false" customHeight="false" outlineLevel="0" collapsed="false">
      <c r="A41" s="9" t="n">
        <v>46296</v>
      </c>
      <c r="B41" s="10" t="s">
        <v>38</v>
      </c>
      <c r="C41" s="10" t="s">
        <v>16</v>
      </c>
      <c r="D41" s="13" t="n">
        <v>0.96</v>
      </c>
      <c r="E41" s="13" t="n">
        <v>0.955</v>
      </c>
      <c r="F41" s="10" t="s">
        <v>39</v>
      </c>
      <c r="G41" s="12" t="str">
        <f aca="false">IF(B41="Day",TEXT(A41,"dd/mm/yyyy"),IF(B41="Week","W"&amp;TEXT(WEEKNUM(A41,21),"00")&amp;" "&amp;YEAR(A41+3),IF(B41="Month",TEXT(A41,"mmm yyyy"),IF(B41="Quarter","Q"&amp;ROUNDUP(MONTH(A41)/3,0)&amp;" "&amp;YEAR(A41),""))))</f>
        <v>Q4 2026</v>
      </c>
    </row>
  </sheetData>
  <dataValidations count="2">
    <dataValidation allowBlank="false" errorStyle="stop" operator="between" showDropDown="false" showErrorMessage="false" showInputMessage="false" sqref="B2:B1041" type="list">
      <formula1>"Day,Week,Month,Quarter"</formula1>
      <formula2>0</formula2>
    </dataValidation>
    <dataValidation allowBlank="false" errorStyle="stop" operator="between" showDropDown="false" showErrorMessage="false" showInputMessage="false" sqref="C2:C1041" type="list">
      <formula1>KPIs!$A$2:$A$100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10"/>
  </cols>
  <sheetData>
    <row r="1" customFormat="false" ht="15" hidden="false" customHeight="true" outlineLevel="0" collapsed="false">
      <c r="A1" s="5" t="s">
        <v>30</v>
      </c>
      <c r="B1" s="5" t="s">
        <v>31</v>
      </c>
      <c r="C1" s="5" t="s">
        <v>4</v>
      </c>
      <c r="D1" s="5" t="s">
        <v>40</v>
      </c>
      <c r="E1" s="5" t="s">
        <v>34</v>
      </c>
      <c r="F1" s="5" t="s">
        <v>41</v>
      </c>
      <c r="G1" s="5" t="s">
        <v>36</v>
      </c>
      <c r="H1" s="5" t="s">
        <v>38</v>
      </c>
    </row>
    <row r="2" customFormat="false" ht="15" hidden="false" customHeight="true" outlineLevel="0" collapsed="false">
      <c r="A2" s="14" t="n">
        <v>46023</v>
      </c>
      <c r="B2" s="6" t="s">
        <v>36</v>
      </c>
      <c r="C2" s="6" t="s">
        <v>11</v>
      </c>
      <c r="D2" s="15" t="n">
        <v>1267</v>
      </c>
      <c r="E2" s="6" t="s">
        <v>42</v>
      </c>
      <c r="F2" s="16" t="str">
        <f aca="false">IF(OR(B2="Day",B2="Week"),"W"&amp;TEXT(WEEKNUM(A2,21),"00"),"")</f>
        <v/>
      </c>
      <c r="G2" s="16" t="str">
        <f aca="false">IF(OR(B2="Day",B2="Month"),TEXT(A2,"mmm yyyy"),"")</f>
        <v>Jan 2026</v>
      </c>
      <c r="H2" s="16" t="str">
        <f aca="false">IF(OR(B2="Day",B2="Month"),"Q"&amp;ROUNDUP(MONTH(A2)/3,0)&amp;" "&amp;YEAR(A2),"")</f>
        <v>Q1 2026</v>
      </c>
    </row>
    <row r="3" customFormat="false" ht="15" hidden="false" customHeight="true" outlineLevel="0" collapsed="false">
      <c r="A3" s="14" t="n">
        <v>46023</v>
      </c>
      <c r="B3" s="6" t="s">
        <v>36</v>
      </c>
      <c r="C3" s="6" t="s">
        <v>15</v>
      </c>
      <c r="D3" s="15" t="n">
        <v>1175</v>
      </c>
      <c r="E3" s="6" t="s">
        <v>42</v>
      </c>
      <c r="F3" s="16" t="str">
        <f aca="false">IF(OR(B3="Day",B3="Week"),"W"&amp;TEXT(WEEKNUM(A3,21),"00"),"")</f>
        <v/>
      </c>
      <c r="G3" s="16" t="str">
        <f aca="false">IF(OR(B3="Day",B3="Month"),TEXT(A3,"mmm yyyy"),"")</f>
        <v>Jan 2026</v>
      </c>
      <c r="H3" s="16" t="str">
        <f aca="false">IF(OR(B3="Day",B3="Month"),"Q"&amp;ROUNDUP(MONTH(A3)/3,0)&amp;" "&amp;YEAR(A3),"")</f>
        <v>Q1 2026</v>
      </c>
    </row>
    <row r="4" customFormat="false" ht="15" hidden="false" customHeight="true" outlineLevel="0" collapsed="false">
      <c r="A4" s="14" t="n">
        <v>46023</v>
      </c>
      <c r="B4" s="6" t="s">
        <v>36</v>
      </c>
      <c r="C4" s="6" t="s">
        <v>19</v>
      </c>
      <c r="D4" s="15" t="n">
        <v>197</v>
      </c>
      <c r="E4" s="6" t="s">
        <v>42</v>
      </c>
      <c r="F4" s="16" t="str">
        <f aca="false">IF(OR(B4="Day",B4="Week"),"W"&amp;TEXT(WEEKNUM(A4,21),"00"),"")</f>
        <v/>
      </c>
      <c r="G4" s="16" t="str">
        <f aca="false">IF(OR(B4="Day",B4="Month"),TEXT(A4,"mmm yyyy"),"")</f>
        <v>Jan 2026</v>
      </c>
      <c r="H4" s="16" t="str">
        <f aca="false">IF(OR(B4="Day",B4="Month"),"Q"&amp;ROUNDUP(MONTH(A4)/3,0)&amp;" "&amp;YEAR(A4),"")</f>
        <v>Q1 2026</v>
      </c>
    </row>
    <row r="5" customFormat="false" ht="15" hidden="false" customHeight="true" outlineLevel="0" collapsed="false">
      <c r="A5" s="14" t="n">
        <v>46023</v>
      </c>
      <c r="B5" s="6" t="s">
        <v>36</v>
      </c>
      <c r="C5" s="6" t="s">
        <v>21</v>
      </c>
      <c r="D5" s="15" t="n">
        <v>762</v>
      </c>
      <c r="E5" s="6" t="s">
        <v>42</v>
      </c>
      <c r="F5" s="16" t="str">
        <f aca="false">IF(OR(B5="Day",B5="Week"),"W"&amp;TEXT(WEEKNUM(A5,21),"00"),"")</f>
        <v/>
      </c>
      <c r="G5" s="16" t="str">
        <f aca="false">IF(OR(B5="Day",B5="Month"),TEXT(A5,"mmm yyyy"),"")</f>
        <v>Jan 2026</v>
      </c>
      <c r="H5" s="16" t="str">
        <f aca="false">IF(OR(B5="Day",B5="Month"),"Q"&amp;ROUNDUP(MONTH(A5)/3,0)&amp;" "&amp;YEAR(A5),"")</f>
        <v>Q1 2026</v>
      </c>
    </row>
    <row r="6" customFormat="false" ht="15" hidden="false" customHeight="true" outlineLevel="0" collapsed="false">
      <c r="A6" s="14" t="n">
        <v>46023</v>
      </c>
      <c r="B6" s="6" t="s">
        <v>36</v>
      </c>
      <c r="C6" s="6" t="s">
        <v>23</v>
      </c>
      <c r="D6" s="15" t="n">
        <v>24.3</v>
      </c>
      <c r="E6" s="6" t="s">
        <v>42</v>
      </c>
      <c r="F6" s="16" t="str">
        <f aca="false">IF(OR(B6="Day",B6="Week"),"W"&amp;TEXT(WEEKNUM(A6,21),"00"),"")</f>
        <v/>
      </c>
      <c r="G6" s="16" t="str">
        <f aca="false">IF(OR(B6="Day",B6="Month"),TEXT(A6,"mmm yyyy"),"")</f>
        <v>Jan 2026</v>
      </c>
      <c r="H6" s="16" t="str">
        <f aca="false">IF(OR(B6="Day",B6="Month"),"Q"&amp;ROUNDUP(MONTH(A6)/3,0)&amp;" "&amp;YEAR(A6),"")</f>
        <v>Q1 2026</v>
      </c>
    </row>
    <row r="7" customFormat="false" ht="15" hidden="false" customHeight="true" outlineLevel="0" collapsed="false">
      <c r="A7" s="14" t="n">
        <v>46023</v>
      </c>
      <c r="B7" s="6" t="s">
        <v>36</v>
      </c>
      <c r="C7" s="6" t="s">
        <v>27</v>
      </c>
      <c r="D7" s="15" t="n">
        <v>5052000</v>
      </c>
      <c r="E7" s="6" t="s">
        <v>42</v>
      </c>
      <c r="F7" s="16" t="str">
        <f aca="false">IF(OR(B7="Day",B7="Week"),"W"&amp;TEXT(WEEKNUM(A7,21),"00"),"")</f>
        <v/>
      </c>
      <c r="G7" s="16" t="str">
        <f aca="false">IF(OR(B7="Day",B7="Month"),TEXT(A7,"mmm yyyy"),"")</f>
        <v>Jan 2026</v>
      </c>
      <c r="H7" s="16" t="str">
        <f aca="false">IF(OR(B7="Day",B7="Month"),"Q"&amp;ROUNDUP(MONTH(A7)/3,0)&amp;" "&amp;YEAR(A7),"")</f>
        <v>Q1 2026</v>
      </c>
    </row>
    <row r="8" customFormat="false" ht="15" hidden="false" customHeight="true" outlineLevel="0" collapsed="false">
      <c r="A8" s="14" t="n">
        <v>46054</v>
      </c>
      <c r="B8" s="6" t="s">
        <v>36</v>
      </c>
      <c r="C8" s="6" t="s">
        <v>11</v>
      </c>
      <c r="D8" s="15" t="n">
        <v>1152</v>
      </c>
      <c r="E8" s="6" t="s">
        <v>42</v>
      </c>
      <c r="F8" s="16" t="str">
        <f aca="false">IF(OR(B8="Day",B8="Week"),"W"&amp;TEXT(WEEKNUM(A8,21),"00"),"")</f>
        <v/>
      </c>
      <c r="G8" s="16" t="str">
        <f aca="false">IF(OR(B8="Day",B8="Month"),TEXT(A8,"mmm yyyy"),"")</f>
        <v>Feb 2026</v>
      </c>
      <c r="H8" s="16" t="str">
        <f aca="false">IF(OR(B8="Day",B8="Month"),"Q"&amp;ROUNDUP(MONTH(A8)/3,0)&amp;" "&amp;YEAR(A8),"")</f>
        <v>Q1 2026</v>
      </c>
    </row>
    <row r="9" customFormat="false" ht="15" hidden="false" customHeight="true" outlineLevel="0" collapsed="false">
      <c r="A9" s="14" t="n">
        <v>46054</v>
      </c>
      <c r="B9" s="6" t="s">
        <v>36</v>
      </c>
      <c r="C9" s="6" t="s">
        <v>15</v>
      </c>
      <c r="D9" s="15" t="n">
        <v>1064</v>
      </c>
      <c r="E9" s="6" t="s">
        <v>42</v>
      </c>
      <c r="F9" s="16" t="str">
        <f aca="false">IF(OR(B9="Day",B9="Week"),"W"&amp;TEXT(WEEKNUM(A9,21),"00"),"")</f>
        <v/>
      </c>
      <c r="G9" s="16" t="str">
        <f aca="false">IF(OR(B9="Day",B9="Month"),TEXT(A9,"mmm yyyy"),"")</f>
        <v>Feb 2026</v>
      </c>
      <c r="H9" s="16" t="str">
        <f aca="false">IF(OR(B9="Day",B9="Month"),"Q"&amp;ROUNDUP(MONTH(A9)/3,0)&amp;" "&amp;YEAR(A9),"")</f>
        <v>Q1 2026</v>
      </c>
    </row>
    <row r="10" customFormat="false" ht="15" hidden="false" customHeight="true" outlineLevel="0" collapsed="false">
      <c r="A10" s="14" t="n">
        <v>46054</v>
      </c>
      <c r="B10" s="6" t="s">
        <v>36</v>
      </c>
      <c r="C10" s="6" t="s">
        <v>19</v>
      </c>
      <c r="D10" s="15" t="n">
        <v>188</v>
      </c>
      <c r="E10" s="6" t="s">
        <v>42</v>
      </c>
      <c r="F10" s="16" t="str">
        <f aca="false">IF(OR(B10="Day",B10="Week"),"W"&amp;TEXT(WEEKNUM(A10,21),"00"),"")</f>
        <v/>
      </c>
      <c r="G10" s="16" t="str">
        <f aca="false">IF(OR(B10="Day",B10="Month"),TEXT(A10,"mmm yyyy"),"")</f>
        <v>Feb 2026</v>
      </c>
      <c r="H10" s="16" t="str">
        <f aca="false">IF(OR(B10="Day",B10="Month"),"Q"&amp;ROUNDUP(MONTH(A10)/3,0)&amp;" "&amp;YEAR(A10),"")</f>
        <v>Q1 2026</v>
      </c>
    </row>
    <row r="11" customFormat="false" ht="15" hidden="false" customHeight="true" outlineLevel="0" collapsed="false">
      <c r="A11" s="14" t="n">
        <v>46054</v>
      </c>
      <c r="B11" s="6" t="s">
        <v>36</v>
      </c>
      <c r="C11" s="6" t="s">
        <v>21</v>
      </c>
      <c r="D11" s="15" t="n">
        <v>759</v>
      </c>
      <c r="E11" s="6" t="s">
        <v>42</v>
      </c>
      <c r="F11" s="16" t="str">
        <f aca="false">IF(OR(B11="Day",B11="Week"),"W"&amp;TEXT(WEEKNUM(A11,21),"00"),"")</f>
        <v/>
      </c>
      <c r="G11" s="16" t="str">
        <f aca="false">IF(OR(B11="Day",B11="Month"),TEXT(A11,"mmm yyyy"),"")</f>
        <v>Feb 2026</v>
      </c>
      <c r="H11" s="16" t="str">
        <f aca="false">IF(OR(B11="Day",B11="Month"),"Q"&amp;ROUNDUP(MONTH(A11)/3,0)&amp;" "&amp;YEAR(A11),"")</f>
        <v>Q1 2026</v>
      </c>
    </row>
    <row r="12" customFormat="false" ht="15" hidden="false" customHeight="true" outlineLevel="0" collapsed="false">
      <c r="A12" s="14" t="n">
        <v>46054</v>
      </c>
      <c r="B12" s="6" t="s">
        <v>36</v>
      </c>
      <c r="C12" s="6" t="s">
        <v>23</v>
      </c>
      <c r="D12" s="15" t="n">
        <v>20.2</v>
      </c>
      <c r="E12" s="6" t="s">
        <v>42</v>
      </c>
      <c r="F12" s="16" t="str">
        <f aca="false">IF(OR(B12="Day",B12="Week"),"W"&amp;TEXT(WEEKNUM(A12,21),"00"),"")</f>
        <v/>
      </c>
      <c r="G12" s="16" t="str">
        <f aca="false">IF(OR(B12="Day",B12="Month"),TEXT(A12,"mmm yyyy"),"")</f>
        <v>Feb 2026</v>
      </c>
      <c r="H12" s="16" t="str">
        <f aca="false">IF(OR(B12="Day",B12="Month"),"Q"&amp;ROUNDUP(MONTH(A12)/3,0)&amp;" "&amp;YEAR(A12),"")</f>
        <v>Q1 2026</v>
      </c>
    </row>
    <row r="13" customFormat="false" ht="15" hidden="false" customHeight="true" outlineLevel="0" collapsed="false">
      <c r="A13" s="14" t="n">
        <v>46054</v>
      </c>
      <c r="B13" s="6" t="s">
        <v>36</v>
      </c>
      <c r="C13" s="6" t="s">
        <v>27</v>
      </c>
      <c r="D13" s="15" t="n">
        <v>4882000</v>
      </c>
      <c r="E13" s="6" t="s">
        <v>42</v>
      </c>
      <c r="F13" s="16" t="str">
        <f aca="false">IF(OR(B13="Day",B13="Week"),"W"&amp;TEXT(WEEKNUM(A13,21),"00"),"")</f>
        <v/>
      </c>
      <c r="G13" s="16" t="str">
        <f aca="false">IF(OR(B13="Day",B13="Month"),TEXT(A13,"mmm yyyy"),"")</f>
        <v>Feb 2026</v>
      </c>
      <c r="H13" s="16" t="str">
        <f aca="false">IF(OR(B13="Day",B13="Month"),"Q"&amp;ROUNDUP(MONTH(A13)/3,0)&amp;" "&amp;YEAR(A13),"")</f>
        <v>Q1 2026</v>
      </c>
    </row>
    <row r="14" customFormat="false" ht="15" hidden="false" customHeight="true" outlineLevel="0" collapsed="false">
      <c r="A14" s="14" t="n">
        <v>46082</v>
      </c>
      <c r="B14" s="6" t="s">
        <v>36</v>
      </c>
      <c r="C14" s="6" t="s">
        <v>11</v>
      </c>
      <c r="D14" s="15" t="n">
        <v>1343</v>
      </c>
      <c r="E14" s="6" t="s">
        <v>42</v>
      </c>
      <c r="F14" s="16" t="str">
        <f aca="false">IF(OR(B14="Day",B14="Week"),"W"&amp;TEXT(WEEKNUM(A14,21),"00"),"")</f>
        <v/>
      </c>
      <c r="G14" s="16" t="str">
        <f aca="false">IF(OR(B14="Day",B14="Month"),TEXT(A14,"mmm yyyy"),"")</f>
        <v>Mar 2026</v>
      </c>
      <c r="H14" s="16" t="str">
        <f aca="false">IF(OR(B14="Day",B14="Month"),"Q"&amp;ROUNDUP(MONTH(A14)/3,0)&amp;" "&amp;YEAR(A14),"")</f>
        <v>Q1 2026</v>
      </c>
    </row>
    <row r="15" customFormat="false" ht="15" hidden="false" customHeight="true" outlineLevel="0" collapsed="false">
      <c r="A15" s="14" t="n">
        <v>46082</v>
      </c>
      <c r="B15" s="6" t="s">
        <v>36</v>
      </c>
      <c r="C15" s="6" t="s">
        <v>15</v>
      </c>
      <c r="D15" s="15" t="n">
        <v>1242</v>
      </c>
      <c r="E15" s="6" t="s">
        <v>42</v>
      </c>
      <c r="F15" s="16" t="str">
        <f aca="false">IF(OR(B15="Day",B15="Week"),"W"&amp;TEXT(WEEKNUM(A15,21),"00"),"")</f>
        <v/>
      </c>
      <c r="G15" s="16" t="str">
        <f aca="false">IF(OR(B15="Day",B15="Month"),TEXT(A15,"mmm yyyy"),"")</f>
        <v>Mar 2026</v>
      </c>
      <c r="H15" s="16" t="str">
        <f aca="false">IF(OR(B15="Day",B15="Month"),"Q"&amp;ROUNDUP(MONTH(A15)/3,0)&amp;" "&amp;YEAR(A15),"")</f>
        <v>Q1 2026</v>
      </c>
    </row>
    <row r="16" customFormat="false" ht="15" hidden="false" customHeight="true" outlineLevel="0" collapsed="false">
      <c r="A16" s="14" t="n">
        <v>46082</v>
      </c>
      <c r="B16" s="6" t="s">
        <v>36</v>
      </c>
      <c r="C16" s="6" t="s">
        <v>19</v>
      </c>
      <c r="D16" s="15" t="n">
        <v>217</v>
      </c>
      <c r="E16" s="6" t="s">
        <v>42</v>
      </c>
      <c r="F16" s="16" t="str">
        <f aca="false">IF(OR(B16="Day",B16="Week"),"W"&amp;TEXT(WEEKNUM(A16,21),"00"),"")</f>
        <v/>
      </c>
      <c r="G16" s="16" t="str">
        <f aca="false">IF(OR(B16="Day",B16="Month"),TEXT(A16,"mmm yyyy"),"")</f>
        <v>Mar 2026</v>
      </c>
      <c r="H16" s="16" t="str">
        <f aca="false">IF(OR(B16="Day",B16="Month"),"Q"&amp;ROUNDUP(MONTH(A16)/3,0)&amp;" "&amp;YEAR(A16),"")</f>
        <v>Q1 2026</v>
      </c>
    </row>
    <row r="17" customFormat="false" ht="15" hidden="false" customHeight="true" outlineLevel="0" collapsed="false">
      <c r="A17" s="14" t="n">
        <v>46082</v>
      </c>
      <c r="B17" s="6" t="s">
        <v>36</v>
      </c>
      <c r="C17" s="6" t="s">
        <v>21</v>
      </c>
      <c r="D17" s="15" t="n">
        <v>669</v>
      </c>
      <c r="E17" s="6" t="s">
        <v>42</v>
      </c>
      <c r="F17" s="16" t="str">
        <f aca="false">IF(OR(B17="Day",B17="Week"),"W"&amp;TEXT(WEEKNUM(A17,21),"00"),"")</f>
        <v/>
      </c>
      <c r="G17" s="16" t="str">
        <f aca="false">IF(OR(B17="Day",B17="Month"),TEXT(A17,"mmm yyyy"),"")</f>
        <v>Mar 2026</v>
      </c>
      <c r="H17" s="16" t="str">
        <f aca="false">IF(OR(B17="Day",B17="Month"),"Q"&amp;ROUNDUP(MONTH(A17)/3,0)&amp;" "&amp;YEAR(A17),"")</f>
        <v>Q1 2026</v>
      </c>
    </row>
    <row r="18" customFormat="false" ht="15" hidden="false" customHeight="true" outlineLevel="0" collapsed="false">
      <c r="A18" s="14" t="n">
        <v>46082</v>
      </c>
      <c r="B18" s="6" t="s">
        <v>36</v>
      </c>
      <c r="C18" s="6" t="s">
        <v>23</v>
      </c>
      <c r="D18" s="15" t="n">
        <v>27.9</v>
      </c>
      <c r="E18" s="6" t="s">
        <v>42</v>
      </c>
      <c r="F18" s="16" t="str">
        <f aca="false">IF(OR(B18="Day",B18="Week"),"W"&amp;TEXT(WEEKNUM(A18,21),"00"),"")</f>
        <v/>
      </c>
      <c r="G18" s="16" t="str">
        <f aca="false">IF(OR(B18="Day",B18="Month"),TEXT(A18,"mmm yyyy"),"")</f>
        <v>Mar 2026</v>
      </c>
      <c r="H18" s="16" t="str">
        <f aca="false">IF(OR(B18="Day",B18="Month"),"Q"&amp;ROUNDUP(MONTH(A18)/3,0)&amp;" "&amp;YEAR(A18),"")</f>
        <v>Q1 2026</v>
      </c>
    </row>
    <row r="19" customFormat="false" ht="15" hidden="false" customHeight="true" outlineLevel="0" collapsed="false">
      <c r="A19" s="14" t="n">
        <v>46082</v>
      </c>
      <c r="B19" s="6" t="s">
        <v>36</v>
      </c>
      <c r="C19" s="6" t="s">
        <v>27</v>
      </c>
      <c r="D19" s="15" t="n">
        <v>5279000</v>
      </c>
      <c r="E19" s="6" t="s">
        <v>42</v>
      </c>
      <c r="F19" s="16" t="str">
        <f aca="false">IF(OR(B19="Day",B19="Week"),"W"&amp;TEXT(WEEKNUM(A19,21),"00"),"")</f>
        <v/>
      </c>
      <c r="G19" s="16" t="str">
        <f aca="false">IF(OR(B19="Day",B19="Month"),TEXT(A19,"mmm yyyy"),"")</f>
        <v>Mar 2026</v>
      </c>
      <c r="H19" s="16" t="str">
        <f aca="false">IF(OR(B19="Day",B19="Month"),"Q"&amp;ROUNDUP(MONTH(A19)/3,0)&amp;" "&amp;YEAR(A19),"")</f>
        <v>Q1 2026</v>
      </c>
    </row>
    <row r="20" customFormat="false" ht="15" hidden="false" customHeight="true" outlineLevel="0" collapsed="false">
      <c r="A20" s="14" t="n">
        <v>46113</v>
      </c>
      <c r="B20" s="6" t="s">
        <v>36</v>
      </c>
      <c r="C20" s="6" t="s">
        <v>11</v>
      </c>
      <c r="D20" s="15" t="n">
        <v>1310</v>
      </c>
      <c r="E20" s="6" t="s">
        <v>42</v>
      </c>
      <c r="F20" s="16" t="str">
        <f aca="false">IF(OR(B20="Day",B20="Week"),"W"&amp;TEXT(WEEKNUM(A20,21),"00"),"")</f>
        <v/>
      </c>
      <c r="G20" s="16" t="str">
        <f aca="false">IF(OR(B20="Day",B20="Month"),TEXT(A20,"mmm yyyy"),"")</f>
        <v>Apr 2026</v>
      </c>
      <c r="H20" s="16" t="str">
        <f aca="false">IF(OR(B20="Day",B20="Month"),"Q"&amp;ROUNDUP(MONTH(A20)/3,0)&amp;" "&amp;YEAR(A20),"")</f>
        <v>Q2 2026</v>
      </c>
    </row>
    <row r="21" customFormat="false" ht="15" hidden="false" customHeight="true" outlineLevel="0" collapsed="false">
      <c r="A21" s="14" t="n">
        <v>46113</v>
      </c>
      <c r="B21" s="6" t="s">
        <v>36</v>
      </c>
      <c r="C21" s="6" t="s">
        <v>15</v>
      </c>
      <c r="D21" s="15" t="n">
        <v>1239</v>
      </c>
      <c r="E21" s="6" t="s">
        <v>42</v>
      </c>
      <c r="F21" s="16" t="str">
        <f aca="false">IF(OR(B21="Day",B21="Week"),"W"&amp;TEXT(WEEKNUM(A21,21),"00"),"")</f>
        <v/>
      </c>
      <c r="G21" s="16" t="str">
        <f aca="false">IF(OR(B21="Day",B21="Month"),TEXT(A21,"mmm yyyy"),"")</f>
        <v>Apr 2026</v>
      </c>
      <c r="H21" s="16" t="str">
        <f aca="false">IF(OR(B21="Day",B21="Month"),"Q"&amp;ROUNDUP(MONTH(A21)/3,0)&amp;" "&amp;YEAR(A21),"")</f>
        <v>Q2 2026</v>
      </c>
    </row>
    <row r="22" customFormat="false" ht="15" hidden="false" customHeight="true" outlineLevel="0" collapsed="false">
      <c r="A22" s="14" t="n">
        <v>46113</v>
      </c>
      <c r="B22" s="6" t="s">
        <v>36</v>
      </c>
      <c r="C22" s="6" t="s">
        <v>19</v>
      </c>
      <c r="D22" s="15" t="n">
        <v>232</v>
      </c>
      <c r="E22" s="6" t="s">
        <v>42</v>
      </c>
      <c r="F22" s="16" t="str">
        <f aca="false">IF(OR(B22="Day",B22="Week"),"W"&amp;TEXT(WEEKNUM(A22,21),"00"),"")</f>
        <v/>
      </c>
      <c r="G22" s="16" t="str">
        <f aca="false">IF(OR(B22="Day",B22="Month"),TEXT(A22,"mmm yyyy"),"")</f>
        <v>Apr 2026</v>
      </c>
      <c r="H22" s="16" t="str">
        <f aca="false">IF(OR(B22="Day",B22="Month"),"Q"&amp;ROUNDUP(MONTH(A22)/3,0)&amp;" "&amp;YEAR(A22),"")</f>
        <v>Q2 2026</v>
      </c>
    </row>
    <row r="23" customFormat="false" ht="15" hidden="false" customHeight="true" outlineLevel="0" collapsed="false">
      <c r="A23" s="14" t="n">
        <v>46113</v>
      </c>
      <c r="B23" s="6" t="s">
        <v>36</v>
      </c>
      <c r="C23" s="6" t="s">
        <v>21</v>
      </c>
      <c r="D23" s="15" t="n">
        <v>663</v>
      </c>
      <c r="E23" s="6" t="s">
        <v>42</v>
      </c>
      <c r="F23" s="16" t="str">
        <f aca="false">IF(OR(B23="Day",B23="Week"),"W"&amp;TEXT(WEEKNUM(A23,21),"00"),"")</f>
        <v/>
      </c>
      <c r="G23" s="16" t="str">
        <f aca="false">IF(OR(B23="Day",B23="Month"),TEXT(A23,"mmm yyyy"),"")</f>
        <v>Apr 2026</v>
      </c>
      <c r="H23" s="16" t="str">
        <f aca="false">IF(OR(B23="Day",B23="Month"),"Q"&amp;ROUNDUP(MONTH(A23)/3,0)&amp;" "&amp;YEAR(A23),"")</f>
        <v>Q2 2026</v>
      </c>
    </row>
    <row r="24" customFormat="false" ht="15" hidden="false" customHeight="true" outlineLevel="0" collapsed="false">
      <c r="A24" s="14" t="n">
        <v>46113</v>
      </c>
      <c r="B24" s="6" t="s">
        <v>36</v>
      </c>
      <c r="C24" s="6" t="s">
        <v>23</v>
      </c>
      <c r="D24" s="15" t="n">
        <v>23.6</v>
      </c>
      <c r="E24" s="6" t="s">
        <v>42</v>
      </c>
      <c r="F24" s="16" t="str">
        <f aca="false">IF(OR(B24="Day",B24="Week"),"W"&amp;TEXT(WEEKNUM(A24,21),"00"),"")</f>
        <v/>
      </c>
      <c r="G24" s="16" t="str">
        <f aca="false">IF(OR(B24="Day",B24="Month"),TEXT(A24,"mmm yyyy"),"")</f>
        <v>Apr 2026</v>
      </c>
      <c r="H24" s="16" t="str">
        <f aca="false">IF(OR(B24="Day",B24="Month"),"Q"&amp;ROUNDUP(MONTH(A24)/3,0)&amp;" "&amp;YEAR(A24),"")</f>
        <v>Q2 2026</v>
      </c>
    </row>
    <row r="25" customFormat="false" ht="15" hidden="false" customHeight="true" outlineLevel="0" collapsed="false">
      <c r="A25" s="14" t="n">
        <v>46113</v>
      </c>
      <c r="B25" s="6" t="s">
        <v>36</v>
      </c>
      <c r="C25" s="6" t="s">
        <v>27</v>
      </c>
      <c r="D25" s="15" t="n">
        <v>4736000</v>
      </c>
      <c r="E25" s="6" t="s">
        <v>42</v>
      </c>
      <c r="F25" s="16" t="str">
        <f aca="false">IF(OR(B25="Day",B25="Week"),"W"&amp;TEXT(WEEKNUM(A25,21),"00"),"")</f>
        <v/>
      </c>
      <c r="G25" s="16" t="str">
        <f aca="false">IF(OR(B25="Day",B25="Month"),TEXT(A25,"mmm yyyy"),"")</f>
        <v>Apr 2026</v>
      </c>
      <c r="H25" s="16" t="str">
        <f aca="false">IF(OR(B25="Day",B25="Month"),"Q"&amp;ROUNDUP(MONTH(A25)/3,0)&amp;" "&amp;YEAR(A25),"")</f>
        <v>Q2 2026</v>
      </c>
    </row>
    <row r="26" customFormat="false" ht="15" hidden="false" customHeight="true" outlineLevel="0" collapsed="false">
      <c r="A26" s="14" t="n">
        <v>46143</v>
      </c>
      <c r="B26" s="6" t="s">
        <v>36</v>
      </c>
      <c r="C26" s="6" t="s">
        <v>11</v>
      </c>
      <c r="D26" s="15" t="n">
        <v>1179</v>
      </c>
      <c r="E26" s="6" t="s">
        <v>42</v>
      </c>
      <c r="F26" s="16" t="str">
        <f aca="false">IF(OR(B26="Day",B26="Week"),"W"&amp;TEXT(WEEKNUM(A26,21),"00"),"")</f>
        <v/>
      </c>
      <c r="G26" s="16" t="str">
        <f aca="false">IF(OR(B26="Day",B26="Month"),TEXT(A26,"mmm yyyy"),"")</f>
        <v>May 2026</v>
      </c>
      <c r="H26" s="16" t="str">
        <f aca="false">IF(OR(B26="Day",B26="Month"),"Q"&amp;ROUNDUP(MONTH(A26)/3,0)&amp;" "&amp;YEAR(A26),"")</f>
        <v>Q2 2026</v>
      </c>
    </row>
    <row r="27" customFormat="false" ht="15" hidden="false" customHeight="true" outlineLevel="0" collapsed="false">
      <c r="A27" s="14" t="n">
        <v>46143</v>
      </c>
      <c r="B27" s="6" t="s">
        <v>36</v>
      </c>
      <c r="C27" s="6" t="s">
        <v>15</v>
      </c>
      <c r="D27" s="15" t="n">
        <v>1103</v>
      </c>
      <c r="E27" s="6" t="s">
        <v>42</v>
      </c>
      <c r="F27" s="16" t="str">
        <f aca="false">IF(OR(B27="Day",B27="Week"),"W"&amp;TEXT(WEEKNUM(A27,21),"00"),"")</f>
        <v/>
      </c>
      <c r="G27" s="16" t="str">
        <f aca="false">IF(OR(B27="Day",B27="Month"),TEXT(A27,"mmm yyyy"),"")</f>
        <v>May 2026</v>
      </c>
      <c r="H27" s="16" t="str">
        <f aca="false">IF(OR(B27="Day",B27="Month"),"Q"&amp;ROUNDUP(MONTH(A27)/3,0)&amp;" "&amp;YEAR(A27),"")</f>
        <v>Q2 2026</v>
      </c>
    </row>
    <row r="28" customFormat="false" ht="15" hidden="false" customHeight="true" outlineLevel="0" collapsed="false">
      <c r="A28" s="14" t="n">
        <v>46143</v>
      </c>
      <c r="B28" s="6" t="s">
        <v>36</v>
      </c>
      <c r="C28" s="6" t="s">
        <v>19</v>
      </c>
      <c r="D28" s="15" t="n">
        <v>213</v>
      </c>
      <c r="E28" s="6" t="s">
        <v>42</v>
      </c>
      <c r="F28" s="16" t="str">
        <f aca="false">IF(OR(B28="Day",B28="Week"),"W"&amp;TEXT(WEEKNUM(A28,21),"00"),"")</f>
        <v/>
      </c>
      <c r="G28" s="16" t="str">
        <f aca="false">IF(OR(B28="Day",B28="Month"),TEXT(A28,"mmm yyyy"),"")</f>
        <v>May 2026</v>
      </c>
      <c r="H28" s="16" t="str">
        <f aca="false">IF(OR(B28="Day",B28="Month"),"Q"&amp;ROUNDUP(MONTH(A28)/3,0)&amp;" "&amp;YEAR(A28),"")</f>
        <v>Q2 2026</v>
      </c>
    </row>
    <row r="29" customFormat="false" ht="15" hidden="false" customHeight="true" outlineLevel="0" collapsed="false">
      <c r="A29" s="14" t="n">
        <v>46143</v>
      </c>
      <c r="B29" s="6" t="s">
        <v>36</v>
      </c>
      <c r="C29" s="6" t="s">
        <v>21</v>
      </c>
      <c r="D29" s="15" t="n">
        <v>727</v>
      </c>
      <c r="E29" s="6" t="s">
        <v>42</v>
      </c>
      <c r="F29" s="16" t="str">
        <f aca="false">IF(OR(B29="Day",B29="Week"),"W"&amp;TEXT(WEEKNUM(A29,21),"00"),"")</f>
        <v/>
      </c>
      <c r="G29" s="16" t="str">
        <f aca="false">IF(OR(B29="Day",B29="Month"),TEXT(A29,"mmm yyyy"),"")</f>
        <v>May 2026</v>
      </c>
      <c r="H29" s="16" t="str">
        <f aca="false">IF(OR(B29="Day",B29="Month"),"Q"&amp;ROUNDUP(MONTH(A29)/3,0)&amp;" "&amp;YEAR(A29),"")</f>
        <v>Q2 2026</v>
      </c>
    </row>
    <row r="30" customFormat="false" ht="15" hidden="false" customHeight="true" outlineLevel="0" collapsed="false">
      <c r="A30" s="14" t="n">
        <v>46143</v>
      </c>
      <c r="B30" s="6" t="s">
        <v>36</v>
      </c>
      <c r="C30" s="6" t="s">
        <v>23</v>
      </c>
      <c r="D30" s="15" t="n">
        <v>22.5</v>
      </c>
      <c r="E30" s="6" t="s">
        <v>42</v>
      </c>
      <c r="F30" s="16" t="str">
        <f aca="false">IF(OR(B30="Day",B30="Week"),"W"&amp;TEXT(WEEKNUM(A30,21),"00"),"")</f>
        <v/>
      </c>
      <c r="G30" s="16" t="str">
        <f aca="false">IF(OR(B30="Day",B30="Month"),TEXT(A30,"mmm yyyy"),"")</f>
        <v>May 2026</v>
      </c>
      <c r="H30" s="16" t="str">
        <f aca="false">IF(OR(B30="Day",B30="Month"),"Q"&amp;ROUNDUP(MONTH(A30)/3,0)&amp;" "&amp;YEAR(A30),"")</f>
        <v>Q2 2026</v>
      </c>
    </row>
    <row r="31" customFormat="false" ht="15" hidden="false" customHeight="true" outlineLevel="0" collapsed="false">
      <c r="A31" s="14" t="n">
        <v>46143</v>
      </c>
      <c r="B31" s="6" t="s">
        <v>36</v>
      </c>
      <c r="C31" s="6" t="s">
        <v>27</v>
      </c>
      <c r="D31" s="15" t="n">
        <v>5205000</v>
      </c>
      <c r="E31" s="6" t="s">
        <v>42</v>
      </c>
      <c r="F31" s="16" t="str">
        <f aca="false">IF(OR(B31="Day",B31="Week"),"W"&amp;TEXT(WEEKNUM(A31,21),"00"),"")</f>
        <v/>
      </c>
      <c r="G31" s="16" t="str">
        <f aca="false">IF(OR(B31="Day",B31="Month"),TEXT(A31,"mmm yyyy"),"")</f>
        <v>May 2026</v>
      </c>
      <c r="H31" s="16" t="str">
        <f aca="false">IF(OR(B31="Day",B31="Month"),"Q"&amp;ROUNDUP(MONTH(A31)/3,0)&amp;" "&amp;YEAR(A31),"")</f>
        <v>Q2 2026</v>
      </c>
    </row>
    <row r="32" customFormat="false" ht="15" hidden="false" customHeight="true" outlineLevel="0" collapsed="false">
      <c r="A32" s="14" t="n">
        <v>46174</v>
      </c>
      <c r="B32" s="6" t="s">
        <v>36</v>
      </c>
      <c r="C32" s="6" t="s">
        <v>11</v>
      </c>
      <c r="D32" s="15" t="n">
        <v>1336</v>
      </c>
      <c r="E32" s="6" t="s">
        <v>42</v>
      </c>
      <c r="F32" s="16" t="str">
        <f aca="false">IF(OR(B32="Day",B32="Week"),"W"&amp;TEXT(WEEKNUM(A32,21),"00"),"")</f>
        <v/>
      </c>
      <c r="G32" s="16" t="str">
        <f aca="false">IF(OR(B32="Day",B32="Month"),TEXT(A32,"mmm yyyy"),"")</f>
        <v>Jun 2026</v>
      </c>
      <c r="H32" s="16" t="str">
        <f aca="false">IF(OR(B32="Day",B32="Month"),"Q"&amp;ROUNDUP(MONTH(A32)/3,0)&amp;" "&amp;YEAR(A32),"")</f>
        <v>Q2 2026</v>
      </c>
    </row>
    <row r="33" customFormat="false" ht="15" hidden="false" customHeight="true" outlineLevel="0" collapsed="false">
      <c r="A33" s="14" t="n">
        <v>46174</v>
      </c>
      <c r="B33" s="6" t="s">
        <v>36</v>
      </c>
      <c r="C33" s="6" t="s">
        <v>15</v>
      </c>
      <c r="D33" s="15" t="n">
        <v>1269</v>
      </c>
      <c r="E33" s="6" t="s">
        <v>42</v>
      </c>
      <c r="F33" s="16" t="str">
        <f aca="false">IF(OR(B33="Day",B33="Week"),"W"&amp;TEXT(WEEKNUM(A33,21),"00"),"")</f>
        <v/>
      </c>
      <c r="G33" s="16" t="str">
        <f aca="false">IF(OR(B33="Day",B33="Month"),TEXT(A33,"mmm yyyy"),"")</f>
        <v>Jun 2026</v>
      </c>
      <c r="H33" s="16" t="str">
        <f aca="false">IF(OR(B33="Day",B33="Month"),"Q"&amp;ROUNDUP(MONTH(A33)/3,0)&amp;" "&amp;YEAR(A33),"")</f>
        <v>Q2 2026</v>
      </c>
    </row>
    <row r="34" customFormat="false" ht="15" hidden="false" customHeight="true" outlineLevel="0" collapsed="false">
      <c r="A34" s="14" t="n">
        <v>46174</v>
      </c>
      <c r="B34" s="6" t="s">
        <v>36</v>
      </c>
      <c r="C34" s="6" t="s">
        <v>19</v>
      </c>
      <c r="D34" s="15" t="n">
        <v>223</v>
      </c>
      <c r="E34" s="6" t="s">
        <v>42</v>
      </c>
      <c r="F34" s="16" t="str">
        <f aca="false">IF(OR(B34="Day",B34="Week"),"W"&amp;TEXT(WEEKNUM(A34,21),"00"),"")</f>
        <v/>
      </c>
      <c r="G34" s="16" t="str">
        <f aca="false">IF(OR(B34="Day",B34="Month"),TEXT(A34,"mmm yyyy"),"")</f>
        <v>Jun 2026</v>
      </c>
      <c r="H34" s="16" t="str">
        <f aca="false">IF(OR(B34="Day",B34="Month"),"Q"&amp;ROUNDUP(MONTH(A34)/3,0)&amp;" "&amp;YEAR(A34),"")</f>
        <v>Q2 2026</v>
      </c>
    </row>
    <row r="35" customFormat="false" ht="15" hidden="false" customHeight="true" outlineLevel="0" collapsed="false">
      <c r="A35" s="14" t="n">
        <v>46174</v>
      </c>
      <c r="B35" s="6" t="s">
        <v>36</v>
      </c>
      <c r="C35" s="6" t="s">
        <v>21</v>
      </c>
      <c r="D35" s="15" t="n">
        <v>806</v>
      </c>
      <c r="E35" s="6" t="s">
        <v>42</v>
      </c>
      <c r="F35" s="16" t="str">
        <f aca="false">IF(OR(B35="Day",B35="Week"),"W"&amp;TEXT(WEEKNUM(A35,21),"00"),"")</f>
        <v/>
      </c>
      <c r="G35" s="16" t="str">
        <f aca="false">IF(OR(B35="Day",B35="Month"),TEXT(A35,"mmm yyyy"),"")</f>
        <v>Jun 2026</v>
      </c>
      <c r="H35" s="16" t="str">
        <f aca="false">IF(OR(B35="Day",B35="Month"),"Q"&amp;ROUNDUP(MONTH(A35)/3,0)&amp;" "&amp;YEAR(A35),"")</f>
        <v>Q2 2026</v>
      </c>
    </row>
    <row r="36" customFormat="false" ht="15" hidden="false" customHeight="true" outlineLevel="0" collapsed="false">
      <c r="A36" s="14" t="n">
        <v>46174</v>
      </c>
      <c r="B36" s="6" t="s">
        <v>36</v>
      </c>
      <c r="C36" s="6" t="s">
        <v>23</v>
      </c>
      <c r="D36" s="15" t="n">
        <v>22.3</v>
      </c>
      <c r="E36" s="6" t="s">
        <v>42</v>
      </c>
      <c r="F36" s="16" t="str">
        <f aca="false">IF(OR(B36="Day",B36="Week"),"W"&amp;TEXT(WEEKNUM(A36,21),"00"),"")</f>
        <v/>
      </c>
      <c r="G36" s="16" t="str">
        <f aca="false">IF(OR(B36="Day",B36="Month"),TEXT(A36,"mmm yyyy"),"")</f>
        <v>Jun 2026</v>
      </c>
      <c r="H36" s="16" t="str">
        <f aca="false">IF(OR(B36="Day",B36="Month"),"Q"&amp;ROUNDUP(MONTH(A36)/3,0)&amp;" "&amp;YEAR(A36),"")</f>
        <v>Q2 2026</v>
      </c>
    </row>
    <row r="37" customFormat="false" ht="15" hidden="false" customHeight="true" outlineLevel="0" collapsed="false">
      <c r="A37" s="14" t="n">
        <v>46174</v>
      </c>
      <c r="B37" s="6" t="s">
        <v>36</v>
      </c>
      <c r="C37" s="6" t="s">
        <v>27</v>
      </c>
      <c r="D37" s="15" t="n">
        <v>4867000</v>
      </c>
      <c r="E37" s="6" t="s">
        <v>42</v>
      </c>
      <c r="F37" s="16" t="str">
        <f aca="false">IF(OR(B37="Day",B37="Week"),"W"&amp;TEXT(WEEKNUM(A37,21),"00"),"")</f>
        <v/>
      </c>
      <c r="G37" s="16" t="str">
        <f aca="false">IF(OR(B37="Day",B37="Month"),TEXT(A37,"mmm yyyy"),"")</f>
        <v>Jun 2026</v>
      </c>
      <c r="H37" s="16" t="str">
        <f aca="false">IF(OR(B37="Day",B37="Month"),"Q"&amp;ROUNDUP(MONTH(A37)/3,0)&amp;" "&amp;YEAR(A37),"")</f>
        <v>Q2 2026</v>
      </c>
    </row>
    <row r="38" customFormat="false" ht="15" hidden="false" customHeight="true" outlineLevel="0" collapsed="false">
      <c r="A38" s="14" t="n">
        <v>46204</v>
      </c>
      <c r="B38" s="6" t="s">
        <v>36</v>
      </c>
      <c r="C38" s="6" t="s">
        <v>11</v>
      </c>
      <c r="D38" s="15" t="n">
        <v>1493</v>
      </c>
      <c r="E38" s="6" t="s">
        <v>42</v>
      </c>
      <c r="F38" s="16" t="str">
        <f aca="false">IF(OR(B38="Day",B38="Week"),"W"&amp;TEXT(WEEKNUM(A38,21),"00"),"")</f>
        <v/>
      </c>
      <c r="G38" s="16" t="str">
        <f aca="false">IF(OR(B38="Day",B38="Month"),TEXT(A38,"mmm yyyy"),"")</f>
        <v>Jul 2026</v>
      </c>
      <c r="H38" s="16" t="str">
        <f aca="false">IF(OR(B38="Day",B38="Month"),"Q"&amp;ROUNDUP(MONTH(A38)/3,0)&amp;" "&amp;YEAR(A38),"")</f>
        <v>Q3 2026</v>
      </c>
    </row>
    <row r="39" customFormat="false" ht="15" hidden="false" customHeight="true" outlineLevel="0" collapsed="false">
      <c r="A39" s="14" t="n">
        <v>46204</v>
      </c>
      <c r="B39" s="6" t="s">
        <v>36</v>
      </c>
      <c r="C39" s="6" t="s">
        <v>15</v>
      </c>
      <c r="D39" s="15" t="n">
        <v>1445</v>
      </c>
      <c r="E39" s="6" t="s">
        <v>42</v>
      </c>
      <c r="F39" s="16" t="str">
        <f aca="false">IF(OR(B39="Day",B39="Week"),"W"&amp;TEXT(WEEKNUM(A39,21),"00"),"")</f>
        <v/>
      </c>
      <c r="G39" s="16" t="str">
        <f aca="false">IF(OR(B39="Day",B39="Month"),TEXT(A39,"mmm yyyy"),"")</f>
        <v>Jul 2026</v>
      </c>
      <c r="H39" s="16" t="str">
        <f aca="false">IF(OR(B39="Day",B39="Month"),"Q"&amp;ROUNDUP(MONTH(A39)/3,0)&amp;" "&amp;YEAR(A39),"")</f>
        <v>Q3 2026</v>
      </c>
    </row>
    <row r="40" customFormat="false" ht="15" hidden="false" customHeight="true" outlineLevel="0" collapsed="false">
      <c r="A40" s="14" t="n">
        <v>46204</v>
      </c>
      <c r="B40" s="6" t="s">
        <v>36</v>
      </c>
      <c r="C40" s="6" t="s">
        <v>19</v>
      </c>
      <c r="D40" s="15" t="n">
        <v>235</v>
      </c>
      <c r="E40" s="6" t="s">
        <v>42</v>
      </c>
      <c r="F40" s="16" t="str">
        <f aca="false">IF(OR(B40="Day",B40="Week"),"W"&amp;TEXT(WEEKNUM(A40,21),"00"),"")</f>
        <v/>
      </c>
      <c r="G40" s="16" t="str">
        <f aca="false">IF(OR(B40="Day",B40="Month"),TEXT(A40,"mmm yyyy"),"")</f>
        <v>Jul 2026</v>
      </c>
      <c r="H40" s="16" t="str">
        <f aca="false">IF(OR(B40="Day",B40="Month"),"Q"&amp;ROUNDUP(MONTH(A40)/3,0)&amp;" "&amp;YEAR(A40),"")</f>
        <v>Q3 2026</v>
      </c>
    </row>
    <row r="41" customFormat="false" ht="15" hidden="false" customHeight="true" outlineLevel="0" collapsed="false">
      <c r="A41" s="14" t="n">
        <v>46204</v>
      </c>
      <c r="B41" s="6" t="s">
        <v>36</v>
      </c>
      <c r="C41" s="6" t="s">
        <v>21</v>
      </c>
      <c r="D41" s="15" t="n">
        <v>853</v>
      </c>
      <c r="E41" s="6" t="s">
        <v>42</v>
      </c>
      <c r="F41" s="16" t="str">
        <f aca="false">IF(OR(B41="Day",B41="Week"),"W"&amp;TEXT(WEEKNUM(A41,21),"00"),"")</f>
        <v/>
      </c>
      <c r="G41" s="16" t="str">
        <f aca="false">IF(OR(B41="Day",B41="Month"),TEXT(A41,"mmm yyyy"),"")</f>
        <v>Jul 2026</v>
      </c>
      <c r="H41" s="16" t="str">
        <f aca="false">IF(OR(B41="Day",B41="Month"),"Q"&amp;ROUNDUP(MONTH(A41)/3,0)&amp;" "&amp;YEAR(A41),"")</f>
        <v>Q3 2026</v>
      </c>
    </row>
    <row r="42" customFormat="false" ht="15" hidden="false" customHeight="true" outlineLevel="0" collapsed="false">
      <c r="A42" s="14" t="n">
        <v>46204</v>
      </c>
      <c r="B42" s="6" t="s">
        <v>36</v>
      </c>
      <c r="C42" s="6" t="s">
        <v>23</v>
      </c>
      <c r="D42" s="15" t="n">
        <v>20.7</v>
      </c>
      <c r="E42" s="6" t="s">
        <v>42</v>
      </c>
      <c r="F42" s="16" t="str">
        <f aca="false">IF(OR(B42="Day",B42="Week"),"W"&amp;TEXT(WEEKNUM(A42,21),"00"),"")</f>
        <v/>
      </c>
      <c r="G42" s="16" t="str">
        <f aca="false">IF(OR(B42="Day",B42="Month"),TEXT(A42,"mmm yyyy"),"")</f>
        <v>Jul 2026</v>
      </c>
      <c r="H42" s="16" t="str">
        <f aca="false">IF(OR(B42="Day",B42="Month"),"Q"&amp;ROUNDUP(MONTH(A42)/3,0)&amp;" "&amp;YEAR(A42),"")</f>
        <v>Q3 2026</v>
      </c>
    </row>
    <row r="43" customFormat="false" ht="15" hidden="false" customHeight="true" outlineLevel="0" collapsed="false">
      <c r="A43" s="14" t="n">
        <v>46204</v>
      </c>
      <c r="B43" s="6" t="s">
        <v>36</v>
      </c>
      <c r="C43" s="6" t="s">
        <v>27</v>
      </c>
      <c r="D43" s="15" t="n">
        <v>4838000</v>
      </c>
      <c r="E43" s="6" t="s">
        <v>42</v>
      </c>
      <c r="F43" s="16" t="str">
        <f aca="false">IF(OR(B43="Day",B43="Week"),"W"&amp;TEXT(WEEKNUM(A43,21),"00"),"")</f>
        <v/>
      </c>
      <c r="G43" s="16" t="str">
        <f aca="false">IF(OR(B43="Day",B43="Month"),TEXT(A43,"mmm yyyy"),"")</f>
        <v>Jul 2026</v>
      </c>
      <c r="H43" s="16" t="str">
        <f aca="false">IF(OR(B43="Day",B43="Month"),"Q"&amp;ROUNDUP(MONTH(A43)/3,0)&amp;" "&amp;YEAR(A43),"")</f>
        <v>Q3 2026</v>
      </c>
    </row>
    <row r="44" customFormat="false" ht="15" hidden="false" customHeight="true" outlineLevel="0" collapsed="false">
      <c r="A44" s="14" t="n">
        <v>46235</v>
      </c>
      <c r="B44" s="6" t="s">
        <v>36</v>
      </c>
      <c r="C44" s="6" t="s">
        <v>11</v>
      </c>
      <c r="D44" s="15" t="n">
        <v>1169</v>
      </c>
      <c r="E44" s="6" t="s">
        <v>42</v>
      </c>
      <c r="F44" s="16" t="str">
        <f aca="false">IF(OR(B44="Day",B44="Week"),"W"&amp;TEXT(WEEKNUM(A44,21),"00"),"")</f>
        <v/>
      </c>
      <c r="G44" s="16" t="str">
        <f aca="false">IF(OR(B44="Day",B44="Month"),TEXT(A44,"mmm yyyy"),"")</f>
        <v>Aug 2026</v>
      </c>
      <c r="H44" s="16" t="str">
        <f aca="false">IF(OR(B44="Day",B44="Month"),"Q"&amp;ROUNDUP(MONTH(A44)/3,0)&amp;" "&amp;YEAR(A44),"")</f>
        <v>Q3 2026</v>
      </c>
    </row>
    <row r="45" customFormat="false" ht="15" hidden="false" customHeight="true" outlineLevel="0" collapsed="false">
      <c r="A45" s="14" t="n">
        <v>46235</v>
      </c>
      <c r="B45" s="6" t="s">
        <v>36</v>
      </c>
      <c r="C45" s="6" t="s">
        <v>15</v>
      </c>
      <c r="D45" s="15" t="n">
        <v>1111</v>
      </c>
      <c r="E45" s="6" t="s">
        <v>42</v>
      </c>
      <c r="F45" s="16" t="str">
        <f aca="false">IF(OR(B45="Day",B45="Week"),"W"&amp;TEXT(WEEKNUM(A45,21),"00"),"")</f>
        <v/>
      </c>
      <c r="G45" s="16" t="str">
        <f aca="false">IF(OR(B45="Day",B45="Month"),TEXT(A45,"mmm yyyy"),"")</f>
        <v>Aug 2026</v>
      </c>
      <c r="H45" s="16" t="str">
        <f aca="false">IF(OR(B45="Day",B45="Month"),"Q"&amp;ROUNDUP(MONTH(A45)/3,0)&amp;" "&amp;YEAR(A45),"")</f>
        <v>Q3 2026</v>
      </c>
    </row>
    <row r="46" customFormat="false" ht="15" hidden="false" customHeight="true" outlineLevel="0" collapsed="false">
      <c r="A46" s="14" t="n">
        <v>46235</v>
      </c>
      <c r="B46" s="6" t="s">
        <v>36</v>
      </c>
      <c r="C46" s="6" t="s">
        <v>19</v>
      </c>
      <c r="D46" s="15" t="n">
        <v>187</v>
      </c>
      <c r="E46" s="6" t="s">
        <v>42</v>
      </c>
      <c r="F46" s="16" t="str">
        <f aca="false">IF(OR(B46="Day",B46="Week"),"W"&amp;TEXT(WEEKNUM(A46,21),"00"),"")</f>
        <v/>
      </c>
      <c r="G46" s="16" t="str">
        <f aca="false">IF(OR(B46="Day",B46="Month"),TEXT(A46,"mmm yyyy"),"")</f>
        <v>Aug 2026</v>
      </c>
      <c r="H46" s="16" t="str">
        <f aca="false">IF(OR(B46="Day",B46="Month"),"Q"&amp;ROUNDUP(MONTH(A46)/3,0)&amp;" "&amp;YEAR(A46),"")</f>
        <v>Q3 2026</v>
      </c>
    </row>
    <row r="47" customFormat="false" ht="15" hidden="false" customHeight="true" outlineLevel="0" collapsed="false">
      <c r="A47" s="14" t="n">
        <v>46235</v>
      </c>
      <c r="B47" s="6" t="s">
        <v>36</v>
      </c>
      <c r="C47" s="6" t="s">
        <v>21</v>
      </c>
      <c r="D47" s="15" t="n">
        <v>714</v>
      </c>
      <c r="E47" s="6" t="s">
        <v>42</v>
      </c>
      <c r="F47" s="16" t="str">
        <f aca="false">IF(OR(B47="Day",B47="Week"),"W"&amp;TEXT(WEEKNUM(A47,21),"00"),"")</f>
        <v/>
      </c>
      <c r="G47" s="16" t="str">
        <f aca="false">IF(OR(B47="Day",B47="Month"),TEXT(A47,"mmm yyyy"),"")</f>
        <v>Aug 2026</v>
      </c>
      <c r="H47" s="16" t="str">
        <f aca="false">IF(OR(B47="Day",B47="Month"),"Q"&amp;ROUNDUP(MONTH(A47)/3,0)&amp;" "&amp;YEAR(A47),"")</f>
        <v>Q3 2026</v>
      </c>
    </row>
    <row r="48" customFormat="false" ht="15" hidden="false" customHeight="true" outlineLevel="0" collapsed="false">
      <c r="A48" s="14" t="n">
        <v>46235</v>
      </c>
      <c r="B48" s="6" t="s">
        <v>36</v>
      </c>
      <c r="C48" s="6" t="s">
        <v>23</v>
      </c>
      <c r="D48" s="15" t="n">
        <v>25.2</v>
      </c>
      <c r="E48" s="6" t="s">
        <v>42</v>
      </c>
      <c r="F48" s="16" t="str">
        <f aca="false">IF(OR(B48="Day",B48="Week"),"W"&amp;TEXT(WEEKNUM(A48,21),"00"),"")</f>
        <v/>
      </c>
      <c r="G48" s="16" t="str">
        <f aca="false">IF(OR(B48="Day",B48="Month"),TEXT(A48,"mmm yyyy"),"")</f>
        <v>Aug 2026</v>
      </c>
      <c r="H48" s="16" t="str">
        <f aca="false">IF(OR(B48="Day",B48="Month"),"Q"&amp;ROUNDUP(MONTH(A48)/3,0)&amp;" "&amp;YEAR(A48),"")</f>
        <v>Q3 2026</v>
      </c>
    </row>
    <row r="49" customFormat="false" ht="15" hidden="false" customHeight="true" outlineLevel="0" collapsed="false">
      <c r="A49" s="14" t="n">
        <v>46235</v>
      </c>
      <c r="B49" s="6" t="s">
        <v>36</v>
      </c>
      <c r="C49" s="6" t="s">
        <v>27</v>
      </c>
      <c r="D49" s="15" t="n">
        <v>4932000</v>
      </c>
      <c r="E49" s="6" t="s">
        <v>42</v>
      </c>
      <c r="F49" s="16" t="str">
        <f aca="false">IF(OR(B49="Day",B49="Week"),"W"&amp;TEXT(WEEKNUM(A49,21),"00"),"")</f>
        <v/>
      </c>
      <c r="G49" s="16" t="str">
        <f aca="false">IF(OR(B49="Day",B49="Month"),TEXT(A49,"mmm yyyy"),"")</f>
        <v>Aug 2026</v>
      </c>
      <c r="H49" s="16" t="str">
        <f aca="false">IF(OR(B49="Day",B49="Month"),"Q"&amp;ROUNDUP(MONTH(A49)/3,0)&amp;" "&amp;YEAR(A49),"")</f>
        <v>Q3 2026</v>
      </c>
    </row>
    <row r="50" customFormat="false" ht="15" hidden="false" customHeight="true" outlineLevel="0" collapsed="false">
      <c r="A50" s="14" t="n">
        <v>46266</v>
      </c>
      <c r="B50" s="6" t="s">
        <v>36</v>
      </c>
      <c r="C50" s="6" t="s">
        <v>11</v>
      </c>
      <c r="D50" s="15" t="n">
        <v>1416</v>
      </c>
      <c r="E50" s="6" t="s">
        <v>42</v>
      </c>
      <c r="F50" s="16" t="str">
        <f aca="false">IF(OR(B50="Day",B50="Week"),"W"&amp;TEXT(WEEKNUM(A50,21),"00"),"")</f>
        <v/>
      </c>
      <c r="G50" s="16" t="str">
        <f aca="false">IF(OR(B50="Day",B50="Month"),TEXT(A50,"mmm yyyy"),"")</f>
        <v>Sep 2026</v>
      </c>
      <c r="H50" s="16" t="str">
        <f aca="false">IF(OR(B50="Day",B50="Month"),"Q"&amp;ROUNDUP(MONTH(A50)/3,0)&amp;" "&amp;YEAR(A50),"")</f>
        <v>Q3 2026</v>
      </c>
    </row>
    <row r="51" customFormat="false" ht="15" hidden="false" customHeight="true" outlineLevel="0" collapsed="false">
      <c r="A51" s="14" t="n">
        <v>46266</v>
      </c>
      <c r="B51" s="6" t="s">
        <v>36</v>
      </c>
      <c r="C51" s="6" t="s">
        <v>15</v>
      </c>
      <c r="D51" s="15" t="n">
        <v>1380</v>
      </c>
      <c r="E51" s="6" t="s">
        <v>42</v>
      </c>
      <c r="F51" s="16" t="str">
        <f aca="false">IF(OR(B51="Day",B51="Week"),"W"&amp;TEXT(WEEKNUM(A51,21),"00"),"")</f>
        <v/>
      </c>
      <c r="G51" s="16" t="str">
        <f aca="false">IF(OR(B51="Day",B51="Month"),TEXT(A51,"mmm yyyy"),"")</f>
        <v>Sep 2026</v>
      </c>
      <c r="H51" s="16" t="str">
        <f aca="false">IF(OR(B51="Day",B51="Month"),"Q"&amp;ROUNDUP(MONTH(A51)/3,0)&amp;" "&amp;YEAR(A51),"")</f>
        <v>Q3 2026</v>
      </c>
    </row>
    <row r="52" customFormat="false" ht="15" hidden="false" customHeight="true" outlineLevel="0" collapsed="false">
      <c r="A52" s="14" t="n">
        <v>46266</v>
      </c>
      <c r="B52" s="6" t="s">
        <v>36</v>
      </c>
      <c r="C52" s="6" t="s">
        <v>19</v>
      </c>
      <c r="D52" s="15" t="n">
        <v>257</v>
      </c>
      <c r="E52" s="6" t="s">
        <v>42</v>
      </c>
      <c r="F52" s="16" t="str">
        <f aca="false">IF(OR(B52="Day",B52="Week"),"W"&amp;TEXT(WEEKNUM(A52,21),"00"),"")</f>
        <v/>
      </c>
      <c r="G52" s="16" t="str">
        <f aca="false">IF(OR(B52="Day",B52="Month"),TEXT(A52,"mmm yyyy"),"")</f>
        <v>Sep 2026</v>
      </c>
      <c r="H52" s="16" t="str">
        <f aca="false">IF(OR(B52="Day",B52="Month"),"Q"&amp;ROUNDUP(MONTH(A52)/3,0)&amp;" "&amp;YEAR(A52),"")</f>
        <v>Q3 2026</v>
      </c>
    </row>
    <row r="53" customFormat="false" ht="15" hidden="false" customHeight="true" outlineLevel="0" collapsed="false">
      <c r="A53" s="14" t="n">
        <v>46266</v>
      </c>
      <c r="B53" s="6" t="s">
        <v>36</v>
      </c>
      <c r="C53" s="6" t="s">
        <v>21</v>
      </c>
      <c r="D53" s="15" t="n">
        <v>706</v>
      </c>
      <c r="E53" s="6" t="s">
        <v>42</v>
      </c>
      <c r="F53" s="16" t="str">
        <f aca="false">IF(OR(B53="Day",B53="Week"),"W"&amp;TEXT(WEEKNUM(A53,21),"00"),"")</f>
        <v/>
      </c>
      <c r="G53" s="16" t="str">
        <f aca="false">IF(OR(B53="Day",B53="Month"),TEXT(A53,"mmm yyyy"),"")</f>
        <v>Sep 2026</v>
      </c>
      <c r="H53" s="16" t="str">
        <f aca="false">IF(OR(B53="Day",B53="Month"),"Q"&amp;ROUNDUP(MONTH(A53)/3,0)&amp;" "&amp;YEAR(A53),"")</f>
        <v>Q3 2026</v>
      </c>
    </row>
    <row r="54" customFormat="false" ht="15" hidden="false" customHeight="true" outlineLevel="0" collapsed="false">
      <c r="A54" s="14" t="n">
        <v>46266</v>
      </c>
      <c r="B54" s="6" t="s">
        <v>36</v>
      </c>
      <c r="C54" s="6" t="s">
        <v>23</v>
      </c>
      <c r="D54" s="15" t="n">
        <v>25.5</v>
      </c>
      <c r="E54" s="6" t="s">
        <v>42</v>
      </c>
      <c r="F54" s="16" t="str">
        <f aca="false">IF(OR(B54="Day",B54="Week"),"W"&amp;TEXT(WEEKNUM(A54,21),"00"),"")</f>
        <v/>
      </c>
      <c r="G54" s="16" t="str">
        <f aca="false">IF(OR(B54="Day",B54="Month"),TEXT(A54,"mmm yyyy"),"")</f>
        <v>Sep 2026</v>
      </c>
      <c r="H54" s="16" t="str">
        <f aca="false">IF(OR(B54="Day",B54="Month"),"Q"&amp;ROUNDUP(MONTH(A54)/3,0)&amp;" "&amp;YEAR(A54),"")</f>
        <v>Q3 2026</v>
      </c>
    </row>
    <row r="55" customFormat="false" ht="15" hidden="false" customHeight="true" outlineLevel="0" collapsed="false">
      <c r="A55" s="14" t="n">
        <v>46266</v>
      </c>
      <c r="B55" s="6" t="s">
        <v>36</v>
      </c>
      <c r="C55" s="6" t="s">
        <v>27</v>
      </c>
      <c r="D55" s="15" t="n">
        <v>4982000</v>
      </c>
      <c r="E55" s="6" t="s">
        <v>42</v>
      </c>
      <c r="F55" s="16" t="str">
        <f aca="false">IF(OR(B55="Day",B55="Week"),"W"&amp;TEXT(WEEKNUM(A55,21),"00"),"")</f>
        <v/>
      </c>
      <c r="G55" s="16" t="str">
        <f aca="false">IF(OR(B55="Day",B55="Month"),TEXT(A55,"mmm yyyy"),"")</f>
        <v>Sep 2026</v>
      </c>
      <c r="H55" s="16" t="str">
        <f aca="false">IF(OR(B55="Day",B55="Month"),"Q"&amp;ROUNDUP(MONTH(A55)/3,0)&amp;" "&amp;YEAR(A55),"")</f>
        <v>Q3 2026</v>
      </c>
    </row>
    <row r="56" customFormat="false" ht="15" hidden="false" customHeight="true" outlineLevel="0" collapsed="false">
      <c r="A56" s="14" t="n">
        <v>46020</v>
      </c>
      <c r="B56" s="6" t="s">
        <v>41</v>
      </c>
      <c r="C56" s="6" t="s">
        <v>11</v>
      </c>
      <c r="D56" s="15" t="n">
        <v>304</v>
      </c>
      <c r="E56" s="6" t="s">
        <v>43</v>
      </c>
      <c r="F56" s="16" t="str">
        <f aca="false">IF(OR(B56="Day",B56="Week"),"W"&amp;TEXT(WEEKNUM(A56,21),"00"),"")</f>
        <v>W01</v>
      </c>
      <c r="G56" s="16" t="str">
        <f aca="false">IF(OR(B56="Day",B56="Month"),TEXT(A56,"mmm yyyy"),"")</f>
        <v/>
      </c>
      <c r="H56" s="16" t="str">
        <f aca="false">IF(OR(B56="Day",B56="Month"),"Q"&amp;ROUNDUP(MONTH(A56)/3,0)&amp;" "&amp;YEAR(A56),"")</f>
        <v/>
      </c>
    </row>
    <row r="57" customFormat="false" ht="15" hidden="false" customHeight="true" outlineLevel="0" collapsed="false">
      <c r="A57" s="14" t="n">
        <v>46020</v>
      </c>
      <c r="B57" s="6" t="s">
        <v>41</v>
      </c>
      <c r="C57" s="6" t="s">
        <v>15</v>
      </c>
      <c r="D57" s="15" t="n">
        <v>300</v>
      </c>
      <c r="E57" s="6" t="s">
        <v>43</v>
      </c>
      <c r="F57" s="16" t="str">
        <f aca="false">IF(OR(B57="Day",B57="Week"),"W"&amp;TEXT(WEEKNUM(A57,21),"00"),"")</f>
        <v>W01</v>
      </c>
      <c r="G57" s="16" t="str">
        <f aca="false">IF(OR(B57="Day",B57="Month"),TEXT(A57,"mmm yyyy"),"")</f>
        <v/>
      </c>
      <c r="H57" s="16" t="str">
        <f aca="false">IF(OR(B57="Day",B57="Month"),"Q"&amp;ROUNDUP(MONTH(A57)/3,0)&amp;" "&amp;YEAR(A57),"")</f>
        <v/>
      </c>
    </row>
    <row r="58" customFormat="false" ht="15" hidden="false" customHeight="true" outlineLevel="0" collapsed="false">
      <c r="A58" s="14" t="n">
        <v>46020</v>
      </c>
      <c r="B58" s="6" t="s">
        <v>41</v>
      </c>
      <c r="C58" s="6" t="s">
        <v>19</v>
      </c>
      <c r="D58" s="15" t="n">
        <v>55</v>
      </c>
      <c r="E58" s="6" t="s">
        <v>43</v>
      </c>
      <c r="F58" s="16" t="str">
        <f aca="false">IF(OR(B58="Day",B58="Week"),"W"&amp;TEXT(WEEKNUM(A58,21),"00"),"")</f>
        <v>W01</v>
      </c>
      <c r="G58" s="16" t="str">
        <f aca="false">IF(OR(B58="Day",B58="Month"),TEXT(A58,"mmm yyyy"),"")</f>
        <v/>
      </c>
      <c r="H58" s="16" t="str">
        <f aca="false">IF(OR(B58="Day",B58="Month"),"Q"&amp;ROUNDUP(MONTH(A58)/3,0)&amp;" "&amp;YEAR(A58),"")</f>
        <v/>
      </c>
    </row>
    <row r="59" customFormat="false" ht="15" hidden="false" customHeight="true" outlineLevel="0" collapsed="false">
      <c r="A59" s="14" t="n">
        <v>46020</v>
      </c>
      <c r="B59" s="6" t="s">
        <v>41</v>
      </c>
      <c r="C59" s="6" t="s">
        <v>21</v>
      </c>
      <c r="D59" s="15" t="n">
        <v>181</v>
      </c>
      <c r="E59" s="6" t="s">
        <v>43</v>
      </c>
      <c r="F59" s="16" t="str">
        <f aca="false">IF(OR(B59="Day",B59="Week"),"W"&amp;TEXT(WEEKNUM(A59,21),"00"),"")</f>
        <v>W01</v>
      </c>
      <c r="G59" s="16" t="str">
        <f aca="false">IF(OR(B59="Day",B59="Month"),TEXT(A59,"mmm yyyy"),"")</f>
        <v/>
      </c>
      <c r="H59" s="16" t="str">
        <f aca="false">IF(OR(B59="Day",B59="Month"),"Q"&amp;ROUNDUP(MONTH(A59)/3,0)&amp;" "&amp;YEAR(A59),"")</f>
        <v/>
      </c>
    </row>
    <row r="60" customFormat="false" ht="15" hidden="false" customHeight="true" outlineLevel="0" collapsed="false">
      <c r="A60" s="14" t="n">
        <v>46020</v>
      </c>
      <c r="B60" s="6" t="s">
        <v>41</v>
      </c>
      <c r="C60" s="6" t="s">
        <v>23</v>
      </c>
      <c r="D60" s="15" t="n">
        <v>23.4</v>
      </c>
      <c r="E60" s="6" t="s">
        <v>43</v>
      </c>
      <c r="F60" s="16" t="str">
        <f aca="false">IF(OR(B60="Day",B60="Week"),"W"&amp;TEXT(WEEKNUM(A60,21),"00"),"")</f>
        <v>W01</v>
      </c>
      <c r="G60" s="16" t="str">
        <f aca="false">IF(OR(B60="Day",B60="Month"),TEXT(A60,"mmm yyyy"),"")</f>
        <v/>
      </c>
      <c r="H60" s="16" t="str">
        <f aca="false">IF(OR(B60="Day",B60="Month"),"Q"&amp;ROUNDUP(MONTH(A60)/3,0)&amp;" "&amp;YEAR(A60),"")</f>
        <v/>
      </c>
    </row>
    <row r="61" customFormat="false" ht="15" hidden="false" customHeight="true" outlineLevel="0" collapsed="false">
      <c r="A61" s="14" t="n">
        <v>46020</v>
      </c>
      <c r="B61" s="6" t="s">
        <v>41</v>
      </c>
      <c r="C61" s="6" t="s">
        <v>27</v>
      </c>
      <c r="D61" s="15" t="n">
        <v>4862000</v>
      </c>
      <c r="E61" s="6" t="s">
        <v>43</v>
      </c>
      <c r="F61" s="16" t="str">
        <f aca="false">IF(OR(B61="Day",B61="Week"),"W"&amp;TEXT(WEEKNUM(A61,21),"00"),"")</f>
        <v>W01</v>
      </c>
      <c r="G61" s="16" t="str">
        <f aca="false">IF(OR(B61="Day",B61="Month"),TEXT(A61,"mmm yyyy"),"")</f>
        <v/>
      </c>
      <c r="H61" s="16" t="str">
        <f aca="false">IF(OR(B61="Day",B61="Month"),"Q"&amp;ROUNDUP(MONTH(A61)/3,0)&amp;" "&amp;YEAR(A61),"")</f>
        <v/>
      </c>
    </row>
    <row r="62" customFormat="false" ht="15" hidden="false" customHeight="true" outlineLevel="0" collapsed="false">
      <c r="A62" s="14" t="n">
        <v>46027</v>
      </c>
      <c r="B62" s="6" t="s">
        <v>41</v>
      </c>
      <c r="C62" s="6" t="s">
        <v>11</v>
      </c>
      <c r="D62" s="15" t="n">
        <v>277</v>
      </c>
      <c r="E62" s="6" t="s">
        <v>44</v>
      </c>
      <c r="F62" s="16" t="str">
        <f aca="false">IF(OR(B62="Day",B62="Week"),"W"&amp;TEXT(WEEKNUM(A62,21),"00"),"")</f>
        <v>W02</v>
      </c>
      <c r="G62" s="16" t="str">
        <f aca="false">IF(OR(B62="Day",B62="Month"),TEXT(A62,"mmm yyyy"),"")</f>
        <v/>
      </c>
      <c r="H62" s="16" t="str">
        <f aca="false">IF(OR(B62="Day",B62="Month"),"Q"&amp;ROUNDUP(MONTH(A62)/3,0)&amp;" "&amp;YEAR(A62),"")</f>
        <v/>
      </c>
    </row>
    <row r="63" customFormat="false" ht="15" hidden="false" customHeight="true" outlineLevel="0" collapsed="false">
      <c r="A63" s="14" t="n">
        <v>46027</v>
      </c>
      <c r="B63" s="6" t="s">
        <v>41</v>
      </c>
      <c r="C63" s="6" t="s">
        <v>15</v>
      </c>
      <c r="D63" s="15" t="n">
        <v>254</v>
      </c>
      <c r="E63" s="6" t="s">
        <v>44</v>
      </c>
      <c r="F63" s="16" t="str">
        <f aca="false">IF(OR(B63="Day",B63="Week"),"W"&amp;TEXT(WEEKNUM(A63,21),"00"),"")</f>
        <v>W02</v>
      </c>
      <c r="G63" s="16" t="str">
        <f aca="false">IF(OR(B63="Day",B63="Month"),TEXT(A63,"mmm yyyy"),"")</f>
        <v/>
      </c>
      <c r="H63" s="16" t="str">
        <f aca="false">IF(OR(B63="Day",B63="Month"),"Q"&amp;ROUNDUP(MONTH(A63)/3,0)&amp;" "&amp;YEAR(A63),"")</f>
        <v/>
      </c>
    </row>
    <row r="64" customFormat="false" ht="15" hidden="false" customHeight="true" outlineLevel="0" collapsed="false">
      <c r="A64" s="14" t="n">
        <v>46027</v>
      </c>
      <c r="B64" s="6" t="s">
        <v>41</v>
      </c>
      <c r="C64" s="6" t="s">
        <v>19</v>
      </c>
      <c r="D64" s="15" t="n">
        <v>43</v>
      </c>
      <c r="E64" s="6" t="s">
        <v>44</v>
      </c>
      <c r="F64" s="16" t="str">
        <f aca="false">IF(OR(B64="Day",B64="Week"),"W"&amp;TEXT(WEEKNUM(A64,21),"00"),"")</f>
        <v>W02</v>
      </c>
      <c r="G64" s="16" t="str">
        <f aca="false">IF(OR(B64="Day",B64="Month"),TEXT(A64,"mmm yyyy"),"")</f>
        <v/>
      </c>
      <c r="H64" s="16" t="str">
        <f aca="false">IF(OR(B64="Day",B64="Month"),"Q"&amp;ROUNDUP(MONTH(A64)/3,0)&amp;" "&amp;YEAR(A64),"")</f>
        <v/>
      </c>
    </row>
    <row r="65" customFormat="false" ht="15" hidden="false" customHeight="true" outlineLevel="0" collapsed="false">
      <c r="A65" s="14" t="n">
        <v>46027</v>
      </c>
      <c r="B65" s="6" t="s">
        <v>41</v>
      </c>
      <c r="C65" s="6" t="s">
        <v>21</v>
      </c>
      <c r="D65" s="15" t="n">
        <v>188</v>
      </c>
      <c r="E65" s="6" t="s">
        <v>44</v>
      </c>
      <c r="F65" s="16" t="str">
        <f aca="false">IF(OR(B65="Day",B65="Week"),"W"&amp;TEXT(WEEKNUM(A65,21),"00"),"")</f>
        <v>W02</v>
      </c>
      <c r="G65" s="16" t="str">
        <f aca="false">IF(OR(B65="Day",B65="Month"),TEXT(A65,"mmm yyyy"),"")</f>
        <v/>
      </c>
      <c r="H65" s="16" t="str">
        <f aca="false">IF(OR(B65="Day",B65="Month"),"Q"&amp;ROUNDUP(MONTH(A65)/3,0)&amp;" "&amp;YEAR(A65),"")</f>
        <v/>
      </c>
    </row>
    <row r="66" customFormat="false" ht="15" hidden="false" customHeight="true" outlineLevel="0" collapsed="false">
      <c r="A66" s="14" t="n">
        <v>46027</v>
      </c>
      <c r="B66" s="6" t="s">
        <v>41</v>
      </c>
      <c r="C66" s="6" t="s">
        <v>23</v>
      </c>
      <c r="D66" s="15" t="n">
        <v>20.8</v>
      </c>
      <c r="E66" s="6" t="s">
        <v>44</v>
      </c>
      <c r="F66" s="16" t="str">
        <f aca="false">IF(OR(B66="Day",B66="Week"),"W"&amp;TEXT(WEEKNUM(A66,21),"00"),"")</f>
        <v>W02</v>
      </c>
      <c r="G66" s="16" t="str">
        <f aca="false">IF(OR(B66="Day",B66="Month"),TEXT(A66,"mmm yyyy"),"")</f>
        <v/>
      </c>
      <c r="H66" s="16" t="str">
        <f aca="false">IF(OR(B66="Day",B66="Month"),"Q"&amp;ROUNDUP(MONTH(A66)/3,0)&amp;" "&amp;YEAR(A66),"")</f>
        <v/>
      </c>
    </row>
    <row r="67" customFormat="false" ht="15" hidden="false" customHeight="true" outlineLevel="0" collapsed="false">
      <c r="A67" s="14" t="n">
        <v>46027</v>
      </c>
      <c r="B67" s="6" t="s">
        <v>41</v>
      </c>
      <c r="C67" s="6" t="s">
        <v>27</v>
      </c>
      <c r="D67" s="15" t="n">
        <v>4848000</v>
      </c>
      <c r="E67" s="6" t="s">
        <v>44</v>
      </c>
      <c r="F67" s="16" t="str">
        <f aca="false">IF(OR(B67="Day",B67="Week"),"W"&amp;TEXT(WEEKNUM(A67,21),"00"),"")</f>
        <v>W02</v>
      </c>
      <c r="G67" s="16" t="str">
        <f aca="false">IF(OR(B67="Day",B67="Month"),TEXT(A67,"mmm yyyy"),"")</f>
        <v/>
      </c>
      <c r="H67" s="16" t="str">
        <f aca="false">IF(OR(B67="Day",B67="Month"),"Q"&amp;ROUNDUP(MONTH(A67)/3,0)&amp;" "&amp;YEAR(A67),"")</f>
        <v/>
      </c>
    </row>
    <row r="68" customFormat="false" ht="15" hidden="false" customHeight="true" outlineLevel="0" collapsed="false">
      <c r="A68" s="14" t="n">
        <v>46034</v>
      </c>
      <c r="B68" s="6" t="s">
        <v>41</v>
      </c>
      <c r="C68" s="6" t="s">
        <v>11</v>
      </c>
      <c r="D68" s="15" t="n">
        <v>263</v>
      </c>
      <c r="E68" s="6" t="s">
        <v>45</v>
      </c>
      <c r="F68" s="16" t="str">
        <f aca="false">IF(OR(B68="Day",B68="Week"),"W"&amp;TEXT(WEEKNUM(A68,21),"00"),"")</f>
        <v>W03</v>
      </c>
      <c r="G68" s="16" t="str">
        <f aca="false">IF(OR(B68="Day",B68="Month"),TEXT(A68,"mmm yyyy"),"")</f>
        <v/>
      </c>
      <c r="H68" s="16" t="str">
        <f aca="false">IF(OR(B68="Day",B68="Month"),"Q"&amp;ROUNDUP(MONTH(A68)/3,0)&amp;" "&amp;YEAR(A68),"")</f>
        <v/>
      </c>
    </row>
    <row r="69" customFormat="false" ht="15" hidden="false" customHeight="true" outlineLevel="0" collapsed="false">
      <c r="A69" s="14" t="n">
        <v>46034</v>
      </c>
      <c r="B69" s="6" t="s">
        <v>41</v>
      </c>
      <c r="C69" s="6" t="s">
        <v>15</v>
      </c>
      <c r="D69" s="15" t="n">
        <v>241</v>
      </c>
      <c r="E69" s="6" t="s">
        <v>45</v>
      </c>
      <c r="F69" s="16" t="str">
        <f aca="false">IF(OR(B69="Day",B69="Week"),"W"&amp;TEXT(WEEKNUM(A69,21),"00"),"")</f>
        <v>W03</v>
      </c>
      <c r="G69" s="16" t="str">
        <f aca="false">IF(OR(B69="Day",B69="Month"),TEXT(A69,"mmm yyyy"),"")</f>
        <v/>
      </c>
      <c r="H69" s="16" t="str">
        <f aca="false">IF(OR(B69="Day",B69="Month"),"Q"&amp;ROUNDUP(MONTH(A69)/3,0)&amp;" "&amp;YEAR(A69),"")</f>
        <v/>
      </c>
    </row>
    <row r="70" customFormat="false" ht="15" hidden="false" customHeight="true" outlineLevel="0" collapsed="false">
      <c r="A70" s="14" t="n">
        <v>46034</v>
      </c>
      <c r="B70" s="6" t="s">
        <v>41</v>
      </c>
      <c r="C70" s="6" t="s">
        <v>19</v>
      </c>
      <c r="D70" s="15" t="n">
        <v>42</v>
      </c>
      <c r="E70" s="6" t="s">
        <v>45</v>
      </c>
      <c r="F70" s="16" t="str">
        <f aca="false">IF(OR(B70="Day",B70="Week"),"W"&amp;TEXT(WEEKNUM(A70,21),"00"),"")</f>
        <v>W03</v>
      </c>
      <c r="G70" s="16" t="str">
        <f aca="false">IF(OR(B70="Day",B70="Month"),TEXT(A70,"mmm yyyy"),"")</f>
        <v/>
      </c>
      <c r="H70" s="16" t="str">
        <f aca="false">IF(OR(B70="Day",B70="Month"),"Q"&amp;ROUNDUP(MONTH(A70)/3,0)&amp;" "&amp;YEAR(A70),"")</f>
        <v/>
      </c>
    </row>
    <row r="71" customFormat="false" ht="15" hidden="false" customHeight="true" outlineLevel="0" collapsed="false">
      <c r="A71" s="14" t="n">
        <v>46034</v>
      </c>
      <c r="B71" s="6" t="s">
        <v>41</v>
      </c>
      <c r="C71" s="6" t="s">
        <v>21</v>
      </c>
      <c r="D71" s="15" t="n">
        <v>159</v>
      </c>
      <c r="E71" s="6" t="s">
        <v>45</v>
      </c>
      <c r="F71" s="16" t="str">
        <f aca="false">IF(OR(B71="Day",B71="Week"),"W"&amp;TEXT(WEEKNUM(A71,21),"00"),"")</f>
        <v>W03</v>
      </c>
      <c r="G71" s="16" t="str">
        <f aca="false">IF(OR(B71="Day",B71="Month"),TEXT(A71,"mmm yyyy"),"")</f>
        <v/>
      </c>
      <c r="H71" s="16" t="str">
        <f aca="false">IF(OR(B71="Day",B71="Month"),"Q"&amp;ROUNDUP(MONTH(A71)/3,0)&amp;" "&amp;YEAR(A71),"")</f>
        <v/>
      </c>
    </row>
    <row r="72" customFormat="false" ht="15" hidden="false" customHeight="true" outlineLevel="0" collapsed="false">
      <c r="A72" s="14" t="n">
        <v>46034</v>
      </c>
      <c r="B72" s="6" t="s">
        <v>41</v>
      </c>
      <c r="C72" s="6" t="s">
        <v>23</v>
      </c>
      <c r="D72" s="15" t="n">
        <v>24.7</v>
      </c>
      <c r="E72" s="6" t="s">
        <v>45</v>
      </c>
      <c r="F72" s="16" t="str">
        <f aca="false">IF(OR(B72="Day",B72="Week"),"W"&amp;TEXT(WEEKNUM(A72,21),"00"),"")</f>
        <v>W03</v>
      </c>
      <c r="G72" s="16" t="str">
        <f aca="false">IF(OR(B72="Day",B72="Month"),TEXT(A72,"mmm yyyy"),"")</f>
        <v/>
      </c>
      <c r="H72" s="16" t="str">
        <f aca="false">IF(OR(B72="Day",B72="Month"),"Q"&amp;ROUNDUP(MONTH(A72)/3,0)&amp;" "&amp;YEAR(A72),"")</f>
        <v/>
      </c>
    </row>
    <row r="73" customFormat="false" ht="15" hidden="false" customHeight="true" outlineLevel="0" collapsed="false">
      <c r="A73" s="14" t="n">
        <v>46034</v>
      </c>
      <c r="B73" s="6" t="s">
        <v>41</v>
      </c>
      <c r="C73" s="6" t="s">
        <v>27</v>
      </c>
      <c r="D73" s="15" t="n">
        <v>4968000</v>
      </c>
      <c r="E73" s="6" t="s">
        <v>45</v>
      </c>
      <c r="F73" s="16" t="str">
        <f aca="false">IF(OR(B73="Day",B73="Week"),"W"&amp;TEXT(WEEKNUM(A73,21),"00"),"")</f>
        <v>W03</v>
      </c>
      <c r="G73" s="16" t="str">
        <f aca="false">IF(OR(B73="Day",B73="Month"),TEXT(A73,"mmm yyyy"),"")</f>
        <v/>
      </c>
      <c r="H73" s="16" t="str">
        <f aca="false">IF(OR(B73="Day",B73="Month"),"Q"&amp;ROUNDUP(MONTH(A73)/3,0)&amp;" "&amp;YEAR(A73),"")</f>
        <v/>
      </c>
    </row>
    <row r="74" customFormat="false" ht="15" hidden="false" customHeight="true" outlineLevel="0" collapsed="false">
      <c r="A74" s="14" t="n">
        <v>46041</v>
      </c>
      <c r="B74" s="6" t="s">
        <v>41</v>
      </c>
      <c r="C74" s="6" t="s">
        <v>11</v>
      </c>
      <c r="D74" s="15" t="n">
        <v>297</v>
      </c>
      <c r="E74" s="6" t="s">
        <v>46</v>
      </c>
      <c r="F74" s="16" t="str">
        <f aca="false">IF(OR(B74="Day",B74="Week"),"W"&amp;TEXT(WEEKNUM(A74,21),"00"),"")</f>
        <v>W04</v>
      </c>
      <c r="G74" s="16" t="str">
        <f aca="false">IF(OR(B74="Day",B74="Month"),TEXT(A74,"mmm yyyy"),"")</f>
        <v/>
      </c>
      <c r="H74" s="16" t="str">
        <f aca="false">IF(OR(B74="Day",B74="Month"),"Q"&amp;ROUNDUP(MONTH(A74)/3,0)&amp;" "&amp;YEAR(A74),"")</f>
        <v/>
      </c>
    </row>
    <row r="75" customFormat="false" ht="15" hidden="false" customHeight="true" outlineLevel="0" collapsed="false">
      <c r="A75" s="14" t="n">
        <v>46041</v>
      </c>
      <c r="B75" s="6" t="s">
        <v>41</v>
      </c>
      <c r="C75" s="6" t="s">
        <v>15</v>
      </c>
      <c r="D75" s="15" t="n">
        <v>273</v>
      </c>
      <c r="E75" s="6" t="s">
        <v>46</v>
      </c>
      <c r="F75" s="16" t="str">
        <f aca="false">IF(OR(B75="Day",B75="Week"),"W"&amp;TEXT(WEEKNUM(A75,21),"00"),"")</f>
        <v>W04</v>
      </c>
      <c r="G75" s="16" t="str">
        <f aca="false">IF(OR(B75="Day",B75="Month"),TEXT(A75,"mmm yyyy"),"")</f>
        <v/>
      </c>
      <c r="H75" s="16" t="str">
        <f aca="false">IF(OR(B75="Day",B75="Month"),"Q"&amp;ROUNDUP(MONTH(A75)/3,0)&amp;" "&amp;YEAR(A75),"")</f>
        <v/>
      </c>
    </row>
    <row r="76" customFormat="false" ht="15" hidden="false" customHeight="true" outlineLevel="0" collapsed="false">
      <c r="A76" s="14" t="n">
        <v>46041</v>
      </c>
      <c r="B76" s="6" t="s">
        <v>41</v>
      </c>
      <c r="C76" s="6" t="s">
        <v>19</v>
      </c>
      <c r="D76" s="15" t="n">
        <v>53</v>
      </c>
      <c r="E76" s="6" t="s">
        <v>46</v>
      </c>
      <c r="F76" s="16" t="str">
        <f aca="false">IF(OR(B76="Day",B76="Week"),"W"&amp;TEXT(WEEKNUM(A76,21),"00"),"")</f>
        <v>W04</v>
      </c>
      <c r="G76" s="16" t="str">
        <f aca="false">IF(OR(B76="Day",B76="Month"),TEXT(A76,"mmm yyyy"),"")</f>
        <v/>
      </c>
      <c r="H76" s="16" t="str">
        <f aca="false">IF(OR(B76="Day",B76="Month"),"Q"&amp;ROUNDUP(MONTH(A76)/3,0)&amp;" "&amp;YEAR(A76),"")</f>
        <v/>
      </c>
    </row>
    <row r="77" customFormat="false" ht="15" hidden="false" customHeight="true" outlineLevel="0" collapsed="false">
      <c r="A77" s="14" t="n">
        <v>46041</v>
      </c>
      <c r="B77" s="6" t="s">
        <v>41</v>
      </c>
      <c r="C77" s="6" t="s">
        <v>21</v>
      </c>
      <c r="D77" s="15" t="n">
        <v>182</v>
      </c>
      <c r="E77" s="6" t="s">
        <v>46</v>
      </c>
      <c r="F77" s="16" t="str">
        <f aca="false">IF(OR(B77="Day",B77="Week"),"W"&amp;TEXT(WEEKNUM(A77,21),"00"),"")</f>
        <v>W04</v>
      </c>
      <c r="G77" s="16" t="str">
        <f aca="false">IF(OR(B77="Day",B77="Month"),TEXT(A77,"mmm yyyy"),"")</f>
        <v/>
      </c>
      <c r="H77" s="16" t="str">
        <f aca="false">IF(OR(B77="Day",B77="Month"),"Q"&amp;ROUNDUP(MONTH(A77)/3,0)&amp;" "&amp;YEAR(A77),"")</f>
        <v/>
      </c>
    </row>
    <row r="78" customFormat="false" ht="15" hidden="false" customHeight="true" outlineLevel="0" collapsed="false">
      <c r="A78" s="14" t="n">
        <v>46041</v>
      </c>
      <c r="B78" s="6" t="s">
        <v>41</v>
      </c>
      <c r="C78" s="6" t="s">
        <v>23</v>
      </c>
      <c r="D78" s="15" t="n">
        <v>20.7</v>
      </c>
      <c r="E78" s="6" t="s">
        <v>46</v>
      </c>
      <c r="F78" s="16" t="str">
        <f aca="false">IF(OR(B78="Day",B78="Week"),"W"&amp;TEXT(WEEKNUM(A78,21),"00"),"")</f>
        <v>W04</v>
      </c>
      <c r="G78" s="16" t="str">
        <f aca="false">IF(OR(B78="Day",B78="Month"),TEXT(A78,"mmm yyyy"),"")</f>
        <v/>
      </c>
      <c r="H78" s="16" t="str">
        <f aca="false">IF(OR(B78="Day",B78="Month"),"Q"&amp;ROUNDUP(MONTH(A78)/3,0)&amp;" "&amp;YEAR(A78),"")</f>
        <v/>
      </c>
    </row>
    <row r="79" customFormat="false" ht="15" hidden="false" customHeight="true" outlineLevel="0" collapsed="false">
      <c r="A79" s="14" t="n">
        <v>46041</v>
      </c>
      <c r="B79" s="6" t="s">
        <v>41</v>
      </c>
      <c r="C79" s="6" t="s">
        <v>27</v>
      </c>
      <c r="D79" s="15" t="n">
        <v>4952000</v>
      </c>
      <c r="E79" s="6" t="s">
        <v>46</v>
      </c>
      <c r="F79" s="16" t="str">
        <f aca="false">IF(OR(B79="Day",B79="Week"),"W"&amp;TEXT(WEEKNUM(A79,21),"00"),"")</f>
        <v>W04</v>
      </c>
      <c r="G79" s="16" t="str">
        <f aca="false">IF(OR(B79="Day",B79="Month"),TEXT(A79,"mmm yyyy"),"")</f>
        <v/>
      </c>
      <c r="H79" s="16" t="str">
        <f aca="false">IF(OR(B79="Day",B79="Month"),"Q"&amp;ROUNDUP(MONTH(A79)/3,0)&amp;" "&amp;YEAR(A79),"")</f>
        <v/>
      </c>
    </row>
    <row r="80" customFormat="false" ht="15" hidden="false" customHeight="true" outlineLevel="0" collapsed="false">
      <c r="A80" s="14" t="n">
        <v>46048</v>
      </c>
      <c r="B80" s="6" t="s">
        <v>41</v>
      </c>
      <c r="C80" s="6" t="s">
        <v>11</v>
      </c>
      <c r="D80" s="15" t="n">
        <v>273</v>
      </c>
      <c r="E80" s="6" t="s">
        <v>47</v>
      </c>
      <c r="F80" s="16" t="str">
        <f aca="false">IF(OR(B80="Day",B80="Week"),"W"&amp;TEXT(WEEKNUM(A80,21),"00"),"")</f>
        <v>W05</v>
      </c>
      <c r="G80" s="16" t="str">
        <f aca="false">IF(OR(B80="Day",B80="Month"),TEXT(A80,"mmm yyyy"),"")</f>
        <v/>
      </c>
      <c r="H80" s="16" t="str">
        <f aca="false">IF(OR(B80="Day",B80="Month"),"Q"&amp;ROUNDUP(MONTH(A80)/3,0)&amp;" "&amp;YEAR(A80),"")</f>
        <v/>
      </c>
    </row>
    <row r="81" customFormat="false" ht="15" hidden="false" customHeight="true" outlineLevel="0" collapsed="false">
      <c r="A81" s="14" t="n">
        <v>46048</v>
      </c>
      <c r="B81" s="6" t="s">
        <v>41</v>
      </c>
      <c r="C81" s="6" t="s">
        <v>15</v>
      </c>
      <c r="D81" s="15" t="n">
        <v>251</v>
      </c>
      <c r="E81" s="6" t="s">
        <v>47</v>
      </c>
      <c r="F81" s="16" t="str">
        <f aca="false">IF(OR(B81="Day",B81="Week"),"W"&amp;TEXT(WEEKNUM(A81,21),"00"),"")</f>
        <v>W05</v>
      </c>
      <c r="G81" s="16" t="str">
        <f aca="false">IF(OR(B81="Day",B81="Month"),TEXT(A81,"mmm yyyy"),"")</f>
        <v/>
      </c>
      <c r="H81" s="16" t="str">
        <f aca="false">IF(OR(B81="Day",B81="Month"),"Q"&amp;ROUNDUP(MONTH(A81)/3,0)&amp;" "&amp;YEAR(A81),"")</f>
        <v/>
      </c>
    </row>
    <row r="82" customFormat="false" ht="15" hidden="false" customHeight="true" outlineLevel="0" collapsed="false">
      <c r="A82" s="14" t="n">
        <v>46048</v>
      </c>
      <c r="B82" s="6" t="s">
        <v>41</v>
      </c>
      <c r="C82" s="6" t="s">
        <v>19</v>
      </c>
      <c r="D82" s="15" t="n">
        <v>42</v>
      </c>
      <c r="E82" s="6" t="s">
        <v>47</v>
      </c>
      <c r="F82" s="16" t="str">
        <f aca="false">IF(OR(B82="Day",B82="Week"),"W"&amp;TEXT(WEEKNUM(A82,21),"00"),"")</f>
        <v>W05</v>
      </c>
      <c r="G82" s="16" t="str">
        <f aca="false">IF(OR(B82="Day",B82="Month"),TEXT(A82,"mmm yyyy"),"")</f>
        <v/>
      </c>
      <c r="H82" s="16" t="str">
        <f aca="false">IF(OR(B82="Day",B82="Month"),"Q"&amp;ROUNDUP(MONTH(A82)/3,0)&amp;" "&amp;YEAR(A82),"")</f>
        <v/>
      </c>
    </row>
    <row r="83" customFormat="false" ht="15" hidden="false" customHeight="true" outlineLevel="0" collapsed="false">
      <c r="A83" s="14" t="n">
        <v>46048</v>
      </c>
      <c r="B83" s="6" t="s">
        <v>41</v>
      </c>
      <c r="C83" s="6" t="s">
        <v>21</v>
      </c>
      <c r="D83" s="15" t="n">
        <v>190</v>
      </c>
      <c r="E83" s="6" t="s">
        <v>47</v>
      </c>
      <c r="F83" s="16" t="str">
        <f aca="false">IF(OR(B83="Day",B83="Week"),"W"&amp;TEXT(WEEKNUM(A83,21),"00"),"")</f>
        <v>W05</v>
      </c>
      <c r="G83" s="16" t="str">
        <f aca="false">IF(OR(B83="Day",B83="Month"),TEXT(A83,"mmm yyyy"),"")</f>
        <v/>
      </c>
      <c r="H83" s="16" t="str">
        <f aca="false">IF(OR(B83="Day",B83="Month"),"Q"&amp;ROUNDUP(MONTH(A83)/3,0)&amp;" "&amp;YEAR(A83),"")</f>
        <v/>
      </c>
    </row>
    <row r="84" customFormat="false" ht="15" hidden="false" customHeight="true" outlineLevel="0" collapsed="false">
      <c r="A84" s="14" t="n">
        <v>46048</v>
      </c>
      <c r="B84" s="6" t="s">
        <v>41</v>
      </c>
      <c r="C84" s="6" t="s">
        <v>23</v>
      </c>
      <c r="D84" s="15" t="n">
        <v>22.4</v>
      </c>
      <c r="E84" s="6" t="s">
        <v>47</v>
      </c>
      <c r="F84" s="16" t="str">
        <f aca="false">IF(OR(B84="Day",B84="Week"),"W"&amp;TEXT(WEEKNUM(A84,21),"00"),"")</f>
        <v>W05</v>
      </c>
      <c r="G84" s="16" t="str">
        <f aca="false">IF(OR(B84="Day",B84="Month"),TEXT(A84,"mmm yyyy"),"")</f>
        <v/>
      </c>
      <c r="H84" s="16" t="str">
        <f aca="false">IF(OR(B84="Day",B84="Month"),"Q"&amp;ROUNDUP(MONTH(A84)/3,0)&amp;" "&amp;YEAR(A84),"")</f>
        <v/>
      </c>
    </row>
    <row r="85" customFormat="false" ht="15" hidden="false" customHeight="true" outlineLevel="0" collapsed="false">
      <c r="A85" s="14" t="n">
        <v>46048</v>
      </c>
      <c r="B85" s="6" t="s">
        <v>41</v>
      </c>
      <c r="C85" s="6" t="s">
        <v>27</v>
      </c>
      <c r="D85" s="15" t="n">
        <v>5231000</v>
      </c>
      <c r="E85" s="6" t="s">
        <v>47</v>
      </c>
      <c r="F85" s="16" t="str">
        <f aca="false">IF(OR(B85="Day",B85="Week"),"W"&amp;TEXT(WEEKNUM(A85,21),"00"),"")</f>
        <v>W05</v>
      </c>
      <c r="G85" s="16" t="str">
        <f aca="false">IF(OR(B85="Day",B85="Month"),TEXT(A85,"mmm yyyy"),"")</f>
        <v/>
      </c>
      <c r="H85" s="16" t="str">
        <f aca="false">IF(OR(B85="Day",B85="Month"),"Q"&amp;ROUNDUP(MONTH(A85)/3,0)&amp;" "&amp;YEAR(A85),"")</f>
        <v/>
      </c>
    </row>
    <row r="86" customFormat="false" ht="15" hidden="false" customHeight="true" outlineLevel="0" collapsed="false">
      <c r="A86" s="14" t="n">
        <v>46055</v>
      </c>
      <c r="B86" s="6" t="s">
        <v>41</v>
      </c>
      <c r="C86" s="6" t="s">
        <v>11</v>
      </c>
      <c r="D86" s="15" t="n">
        <v>282</v>
      </c>
      <c r="E86" s="6" t="s">
        <v>48</v>
      </c>
      <c r="F86" s="16" t="str">
        <f aca="false">IF(OR(B86="Day",B86="Week"),"W"&amp;TEXT(WEEKNUM(A86,21),"00"),"")</f>
        <v>W06</v>
      </c>
      <c r="G86" s="16" t="str">
        <f aca="false">IF(OR(B86="Day",B86="Month"),TEXT(A86,"mmm yyyy"),"")</f>
        <v/>
      </c>
      <c r="H86" s="16" t="str">
        <f aca="false">IF(OR(B86="Day",B86="Month"),"Q"&amp;ROUNDUP(MONTH(A86)/3,0)&amp;" "&amp;YEAR(A86),"")</f>
        <v/>
      </c>
    </row>
    <row r="87" customFormat="false" ht="15" hidden="false" customHeight="true" outlineLevel="0" collapsed="false">
      <c r="A87" s="14" t="n">
        <v>46055</v>
      </c>
      <c r="B87" s="6" t="s">
        <v>41</v>
      </c>
      <c r="C87" s="6" t="s">
        <v>15</v>
      </c>
      <c r="D87" s="15" t="n">
        <v>261</v>
      </c>
      <c r="E87" s="6" t="s">
        <v>48</v>
      </c>
      <c r="F87" s="16" t="str">
        <f aca="false">IF(OR(B87="Day",B87="Week"),"W"&amp;TEXT(WEEKNUM(A87,21),"00"),"")</f>
        <v>W06</v>
      </c>
      <c r="G87" s="16" t="str">
        <f aca="false">IF(OR(B87="Day",B87="Month"),TEXT(A87,"mmm yyyy"),"")</f>
        <v/>
      </c>
      <c r="H87" s="16" t="str">
        <f aca="false">IF(OR(B87="Day",B87="Month"),"Q"&amp;ROUNDUP(MONTH(A87)/3,0)&amp;" "&amp;YEAR(A87),"")</f>
        <v/>
      </c>
    </row>
    <row r="88" customFormat="false" ht="15" hidden="false" customHeight="true" outlineLevel="0" collapsed="false">
      <c r="A88" s="14" t="n">
        <v>46055</v>
      </c>
      <c r="B88" s="6" t="s">
        <v>41</v>
      </c>
      <c r="C88" s="6" t="s">
        <v>19</v>
      </c>
      <c r="D88" s="15" t="n">
        <v>44</v>
      </c>
      <c r="E88" s="6" t="s">
        <v>48</v>
      </c>
      <c r="F88" s="16" t="str">
        <f aca="false">IF(OR(B88="Day",B88="Week"),"W"&amp;TEXT(WEEKNUM(A88,21),"00"),"")</f>
        <v>W06</v>
      </c>
      <c r="G88" s="16" t="str">
        <f aca="false">IF(OR(B88="Day",B88="Month"),TEXT(A88,"mmm yyyy"),"")</f>
        <v/>
      </c>
      <c r="H88" s="16" t="str">
        <f aca="false">IF(OR(B88="Day",B88="Month"),"Q"&amp;ROUNDUP(MONTH(A88)/3,0)&amp;" "&amp;YEAR(A88),"")</f>
        <v/>
      </c>
    </row>
    <row r="89" customFormat="false" ht="15" hidden="false" customHeight="true" outlineLevel="0" collapsed="false">
      <c r="A89" s="14" t="n">
        <v>46055</v>
      </c>
      <c r="B89" s="6" t="s">
        <v>41</v>
      </c>
      <c r="C89" s="6" t="s">
        <v>21</v>
      </c>
      <c r="D89" s="15" t="n">
        <v>182</v>
      </c>
      <c r="E89" s="6" t="s">
        <v>48</v>
      </c>
      <c r="F89" s="16" t="str">
        <f aca="false">IF(OR(B89="Day",B89="Week"),"W"&amp;TEXT(WEEKNUM(A89,21),"00"),"")</f>
        <v>W06</v>
      </c>
      <c r="G89" s="16" t="str">
        <f aca="false">IF(OR(B89="Day",B89="Month"),TEXT(A89,"mmm yyyy"),"")</f>
        <v/>
      </c>
      <c r="H89" s="16" t="str">
        <f aca="false">IF(OR(B89="Day",B89="Month"),"Q"&amp;ROUNDUP(MONTH(A89)/3,0)&amp;" "&amp;YEAR(A89),"")</f>
        <v/>
      </c>
    </row>
    <row r="90" customFormat="false" ht="15" hidden="false" customHeight="true" outlineLevel="0" collapsed="false">
      <c r="A90" s="14" t="n">
        <v>46055</v>
      </c>
      <c r="B90" s="6" t="s">
        <v>41</v>
      </c>
      <c r="C90" s="6" t="s">
        <v>23</v>
      </c>
      <c r="D90" s="15" t="n">
        <v>20.3</v>
      </c>
      <c r="E90" s="6" t="s">
        <v>48</v>
      </c>
      <c r="F90" s="16" t="str">
        <f aca="false">IF(OR(B90="Day",B90="Week"),"W"&amp;TEXT(WEEKNUM(A90,21),"00"),"")</f>
        <v>W06</v>
      </c>
      <c r="G90" s="16" t="str">
        <f aca="false">IF(OR(B90="Day",B90="Month"),TEXT(A90,"mmm yyyy"),"")</f>
        <v/>
      </c>
      <c r="H90" s="16" t="str">
        <f aca="false">IF(OR(B90="Day",B90="Month"),"Q"&amp;ROUNDUP(MONTH(A90)/3,0)&amp;" "&amp;YEAR(A90),"")</f>
        <v/>
      </c>
    </row>
    <row r="91" customFormat="false" ht="15" hidden="false" customHeight="true" outlineLevel="0" collapsed="false">
      <c r="A91" s="14" t="n">
        <v>46055</v>
      </c>
      <c r="B91" s="6" t="s">
        <v>41</v>
      </c>
      <c r="C91" s="6" t="s">
        <v>27</v>
      </c>
      <c r="D91" s="15" t="n">
        <v>5294000</v>
      </c>
      <c r="E91" s="6" t="s">
        <v>48</v>
      </c>
      <c r="F91" s="16" t="str">
        <f aca="false">IF(OR(B91="Day",B91="Week"),"W"&amp;TEXT(WEEKNUM(A91,21),"00"),"")</f>
        <v>W06</v>
      </c>
      <c r="G91" s="16" t="str">
        <f aca="false">IF(OR(B91="Day",B91="Month"),TEXT(A91,"mmm yyyy"),"")</f>
        <v/>
      </c>
      <c r="H91" s="16" t="str">
        <f aca="false">IF(OR(B91="Day",B91="Month"),"Q"&amp;ROUNDUP(MONTH(A91)/3,0)&amp;" "&amp;YEAR(A91),"")</f>
        <v/>
      </c>
    </row>
    <row r="92" customFormat="false" ht="15" hidden="false" customHeight="true" outlineLevel="0" collapsed="false">
      <c r="A92" s="14" t="n">
        <v>46062</v>
      </c>
      <c r="B92" s="6" t="s">
        <v>41</v>
      </c>
      <c r="C92" s="6" t="s">
        <v>11</v>
      </c>
      <c r="D92" s="15" t="n">
        <v>275</v>
      </c>
      <c r="E92" s="6" t="s">
        <v>49</v>
      </c>
      <c r="F92" s="16" t="str">
        <f aca="false">IF(OR(B92="Day",B92="Week"),"W"&amp;TEXT(WEEKNUM(A92,21),"00"),"")</f>
        <v>W07</v>
      </c>
      <c r="G92" s="16" t="str">
        <f aca="false">IF(OR(B92="Day",B92="Month"),TEXT(A92,"mmm yyyy"),"")</f>
        <v/>
      </c>
      <c r="H92" s="16" t="str">
        <f aca="false">IF(OR(B92="Day",B92="Month"),"Q"&amp;ROUNDUP(MONTH(A92)/3,0)&amp;" "&amp;YEAR(A92),"")</f>
        <v/>
      </c>
    </row>
    <row r="93" customFormat="false" ht="15" hidden="false" customHeight="true" outlineLevel="0" collapsed="false">
      <c r="A93" s="14" t="n">
        <v>46062</v>
      </c>
      <c r="B93" s="6" t="s">
        <v>41</v>
      </c>
      <c r="C93" s="6" t="s">
        <v>15</v>
      </c>
      <c r="D93" s="15" t="n">
        <v>254</v>
      </c>
      <c r="E93" s="6" t="s">
        <v>49</v>
      </c>
      <c r="F93" s="16" t="str">
        <f aca="false">IF(OR(B93="Day",B93="Week"),"W"&amp;TEXT(WEEKNUM(A93,21),"00"),"")</f>
        <v>W07</v>
      </c>
      <c r="G93" s="16" t="str">
        <f aca="false">IF(OR(B93="Day",B93="Month"),TEXT(A93,"mmm yyyy"),"")</f>
        <v/>
      </c>
      <c r="H93" s="16" t="str">
        <f aca="false">IF(OR(B93="Day",B93="Month"),"Q"&amp;ROUNDUP(MONTH(A93)/3,0)&amp;" "&amp;YEAR(A93),"")</f>
        <v/>
      </c>
    </row>
    <row r="94" customFormat="false" ht="15" hidden="false" customHeight="true" outlineLevel="0" collapsed="false">
      <c r="A94" s="14" t="n">
        <v>46062</v>
      </c>
      <c r="B94" s="6" t="s">
        <v>41</v>
      </c>
      <c r="C94" s="6" t="s">
        <v>19</v>
      </c>
      <c r="D94" s="15" t="n">
        <v>44</v>
      </c>
      <c r="E94" s="6" t="s">
        <v>49</v>
      </c>
      <c r="F94" s="16" t="str">
        <f aca="false">IF(OR(B94="Day",B94="Week"),"W"&amp;TEXT(WEEKNUM(A94,21),"00"),"")</f>
        <v>W07</v>
      </c>
      <c r="G94" s="16" t="str">
        <f aca="false">IF(OR(B94="Day",B94="Month"),TEXT(A94,"mmm yyyy"),"")</f>
        <v/>
      </c>
      <c r="H94" s="16" t="str">
        <f aca="false">IF(OR(B94="Day",B94="Month"),"Q"&amp;ROUNDUP(MONTH(A94)/3,0)&amp;" "&amp;YEAR(A94),"")</f>
        <v/>
      </c>
    </row>
    <row r="95" customFormat="false" ht="15" hidden="false" customHeight="true" outlineLevel="0" collapsed="false">
      <c r="A95" s="14" t="n">
        <v>46062</v>
      </c>
      <c r="B95" s="6" t="s">
        <v>41</v>
      </c>
      <c r="C95" s="6" t="s">
        <v>21</v>
      </c>
      <c r="D95" s="15" t="n">
        <v>166</v>
      </c>
      <c r="E95" s="6" t="s">
        <v>49</v>
      </c>
      <c r="F95" s="16" t="str">
        <f aca="false">IF(OR(B95="Day",B95="Week"),"W"&amp;TEXT(WEEKNUM(A95,21),"00"),"")</f>
        <v>W07</v>
      </c>
      <c r="G95" s="16" t="str">
        <f aca="false">IF(OR(B95="Day",B95="Month"),TEXT(A95,"mmm yyyy"),"")</f>
        <v/>
      </c>
      <c r="H95" s="16" t="str">
        <f aca="false">IF(OR(B95="Day",B95="Month"),"Q"&amp;ROUNDUP(MONTH(A95)/3,0)&amp;" "&amp;YEAR(A95),"")</f>
        <v/>
      </c>
    </row>
    <row r="96" customFormat="false" ht="15" hidden="false" customHeight="true" outlineLevel="0" collapsed="false">
      <c r="A96" s="14" t="n">
        <v>46062</v>
      </c>
      <c r="B96" s="6" t="s">
        <v>41</v>
      </c>
      <c r="C96" s="6" t="s">
        <v>23</v>
      </c>
      <c r="D96" s="15" t="n">
        <v>22.1</v>
      </c>
      <c r="E96" s="6" t="s">
        <v>49</v>
      </c>
      <c r="F96" s="16" t="str">
        <f aca="false">IF(OR(B96="Day",B96="Week"),"W"&amp;TEXT(WEEKNUM(A96,21),"00"),"")</f>
        <v>W07</v>
      </c>
      <c r="G96" s="16" t="str">
        <f aca="false">IF(OR(B96="Day",B96="Month"),TEXT(A96,"mmm yyyy"),"")</f>
        <v/>
      </c>
      <c r="H96" s="16" t="str">
        <f aca="false">IF(OR(B96="Day",B96="Month"),"Q"&amp;ROUNDUP(MONTH(A96)/3,0)&amp;" "&amp;YEAR(A96),"")</f>
        <v/>
      </c>
    </row>
    <row r="97" customFormat="false" ht="15" hidden="false" customHeight="true" outlineLevel="0" collapsed="false">
      <c r="A97" s="14" t="n">
        <v>46062</v>
      </c>
      <c r="B97" s="6" t="s">
        <v>41</v>
      </c>
      <c r="C97" s="6" t="s">
        <v>27</v>
      </c>
      <c r="D97" s="15" t="n">
        <v>4744000</v>
      </c>
      <c r="E97" s="6" t="s">
        <v>49</v>
      </c>
      <c r="F97" s="16" t="str">
        <f aca="false">IF(OR(B97="Day",B97="Week"),"W"&amp;TEXT(WEEKNUM(A97,21),"00"),"")</f>
        <v>W07</v>
      </c>
      <c r="G97" s="16" t="str">
        <f aca="false">IF(OR(B97="Day",B97="Month"),TEXT(A97,"mmm yyyy"),"")</f>
        <v/>
      </c>
      <c r="H97" s="16" t="str">
        <f aca="false">IF(OR(B97="Day",B97="Month"),"Q"&amp;ROUNDUP(MONTH(A97)/3,0)&amp;" "&amp;YEAR(A97),"")</f>
        <v/>
      </c>
    </row>
    <row r="98" customFormat="false" ht="15" hidden="false" customHeight="true" outlineLevel="0" collapsed="false">
      <c r="A98" s="14" t="n">
        <v>46069</v>
      </c>
      <c r="B98" s="6" t="s">
        <v>41</v>
      </c>
      <c r="C98" s="6" t="s">
        <v>11</v>
      </c>
      <c r="D98" s="15" t="n">
        <v>291</v>
      </c>
      <c r="E98" s="6" t="s">
        <v>50</v>
      </c>
      <c r="F98" s="16" t="str">
        <f aca="false">IF(OR(B98="Day",B98="Week"),"W"&amp;TEXT(WEEKNUM(A98,21),"00"),"")</f>
        <v>W08</v>
      </c>
      <c r="G98" s="16" t="str">
        <f aca="false">IF(OR(B98="Day",B98="Month"),TEXT(A98,"mmm yyyy"),"")</f>
        <v/>
      </c>
      <c r="H98" s="16" t="str">
        <f aca="false">IF(OR(B98="Day",B98="Month"),"Q"&amp;ROUNDUP(MONTH(A98)/3,0)&amp;" "&amp;YEAR(A98),"")</f>
        <v/>
      </c>
    </row>
    <row r="99" customFormat="false" ht="15" hidden="false" customHeight="true" outlineLevel="0" collapsed="false">
      <c r="A99" s="14" t="n">
        <v>46069</v>
      </c>
      <c r="B99" s="6" t="s">
        <v>41</v>
      </c>
      <c r="C99" s="6" t="s">
        <v>15</v>
      </c>
      <c r="D99" s="15" t="n">
        <v>268</v>
      </c>
      <c r="E99" s="6" t="s">
        <v>50</v>
      </c>
      <c r="F99" s="16" t="str">
        <f aca="false">IF(OR(B99="Day",B99="Week"),"W"&amp;TEXT(WEEKNUM(A99,21),"00"),"")</f>
        <v>W08</v>
      </c>
      <c r="G99" s="16" t="str">
        <f aca="false">IF(OR(B99="Day",B99="Month"),TEXT(A99,"mmm yyyy"),"")</f>
        <v/>
      </c>
      <c r="H99" s="16" t="str">
        <f aca="false">IF(OR(B99="Day",B99="Month"),"Q"&amp;ROUNDUP(MONTH(A99)/3,0)&amp;" "&amp;YEAR(A99),"")</f>
        <v/>
      </c>
    </row>
    <row r="100" customFormat="false" ht="15" hidden="false" customHeight="true" outlineLevel="0" collapsed="false">
      <c r="A100" s="14" t="n">
        <v>46069</v>
      </c>
      <c r="B100" s="6" t="s">
        <v>41</v>
      </c>
      <c r="C100" s="6" t="s">
        <v>19</v>
      </c>
      <c r="D100" s="15" t="n">
        <v>51</v>
      </c>
      <c r="E100" s="6" t="s">
        <v>50</v>
      </c>
      <c r="F100" s="16" t="str">
        <f aca="false">IF(OR(B100="Day",B100="Week"),"W"&amp;TEXT(WEEKNUM(A100,21),"00"),"")</f>
        <v>W08</v>
      </c>
      <c r="G100" s="16" t="str">
        <f aca="false">IF(OR(B100="Day",B100="Month"),TEXT(A100,"mmm yyyy"),"")</f>
        <v/>
      </c>
      <c r="H100" s="16" t="str">
        <f aca="false">IF(OR(B100="Day",B100="Month"),"Q"&amp;ROUNDUP(MONTH(A100)/3,0)&amp;" "&amp;YEAR(A100),"")</f>
        <v/>
      </c>
    </row>
    <row r="101" customFormat="false" ht="15" hidden="false" customHeight="true" outlineLevel="0" collapsed="false">
      <c r="A101" s="14" t="n">
        <v>46069</v>
      </c>
      <c r="B101" s="6" t="s">
        <v>41</v>
      </c>
      <c r="C101" s="6" t="s">
        <v>21</v>
      </c>
      <c r="D101" s="15" t="n">
        <v>180</v>
      </c>
      <c r="E101" s="6" t="s">
        <v>50</v>
      </c>
      <c r="F101" s="16" t="str">
        <f aca="false">IF(OR(B101="Day",B101="Week"),"W"&amp;TEXT(WEEKNUM(A101,21),"00"),"")</f>
        <v>W08</v>
      </c>
      <c r="G101" s="16" t="str">
        <f aca="false">IF(OR(B101="Day",B101="Month"),TEXT(A101,"mmm yyyy"),"")</f>
        <v/>
      </c>
      <c r="H101" s="16" t="str">
        <f aca="false">IF(OR(B101="Day",B101="Month"),"Q"&amp;ROUNDUP(MONTH(A101)/3,0)&amp;" "&amp;YEAR(A101),"")</f>
        <v/>
      </c>
    </row>
    <row r="102" customFormat="false" ht="15" hidden="false" customHeight="true" outlineLevel="0" collapsed="false">
      <c r="A102" s="14" t="n">
        <v>46069</v>
      </c>
      <c r="B102" s="6" t="s">
        <v>41</v>
      </c>
      <c r="C102" s="6" t="s">
        <v>23</v>
      </c>
      <c r="D102" s="15" t="n">
        <v>22.7</v>
      </c>
      <c r="E102" s="6" t="s">
        <v>50</v>
      </c>
      <c r="F102" s="16" t="str">
        <f aca="false">IF(OR(B102="Day",B102="Week"),"W"&amp;TEXT(WEEKNUM(A102,21),"00"),"")</f>
        <v>W08</v>
      </c>
      <c r="G102" s="16" t="str">
        <f aca="false">IF(OR(B102="Day",B102="Month"),TEXT(A102,"mmm yyyy"),"")</f>
        <v/>
      </c>
      <c r="H102" s="16" t="str">
        <f aca="false">IF(OR(B102="Day",B102="Month"),"Q"&amp;ROUNDUP(MONTH(A102)/3,0)&amp;" "&amp;YEAR(A102),"")</f>
        <v/>
      </c>
    </row>
    <row r="103" customFormat="false" ht="15" hidden="false" customHeight="true" outlineLevel="0" collapsed="false">
      <c r="A103" s="14" t="n">
        <v>46069</v>
      </c>
      <c r="B103" s="6" t="s">
        <v>41</v>
      </c>
      <c r="C103" s="6" t="s">
        <v>27</v>
      </c>
      <c r="D103" s="15" t="n">
        <v>4972000</v>
      </c>
      <c r="E103" s="6" t="s">
        <v>50</v>
      </c>
      <c r="F103" s="16" t="str">
        <f aca="false">IF(OR(B103="Day",B103="Week"),"W"&amp;TEXT(WEEKNUM(A103,21),"00"),"")</f>
        <v>W08</v>
      </c>
      <c r="G103" s="16" t="str">
        <f aca="false">IF(OR(B103="Day",B103="Month"),TEXT(A103,"mmm yyyy"),"")</f>
        <v/>
      </c>
      <c r="H103" s="16" t="str">
        <f aca="false">IF(OR(B103="Day",B103="Month"),"Q"&amp;ROUNDUP(MONTH(A103)/3,0)&amp;" "&amp;YEAR(A103),"")</f>
        <v/>
      </c>
    </row>
    <row r="104" customFormat="false" ht="15" hidden="false" customHeight="true" outlineLevel="0" collapsed="false">
      <c r="A104" s="14" t="n">
        <v>46076</v>
      </c>
      <c r="B104" s="6" t="s">
        <v>41</v>
      </c>
      <c r="C104" s="6" t="s">
        <v>11</v>
      </c>
      <c r="D104" s="15" t="n">
        <v>286</v>
      </c>
      <c r="E104" s="6" t="s">
        <v>51</v>
      </c>
      <c r="F104" s="16" t="str">
        <f aca="false">IF(OR(B104="Day",B104="Week"),"W"&amp;TEXT(WEEKNUM(A104,21),"00"),"")</f>
        <v>W09</v>
      </c>
      <c r="G104" s="16" t="str">
        <f aca="false">IF(OR(B104="Day",B104="Month"),TEXT(A104,"mmm yyyy"),"")</f>
        <v/>
      </c>
      <c r="H104" s="16" t="str">
        <f aca="false">IF(OR(B104="Day",B104="Month"),"Q"&amp;ROUNDUP(MONTH(A104)/3,0)&amp;" "&amp;YEAR(A104),"")</f>
        <v/>
      </c>
    </row>
    <row r="105" customFormat="false" ht="15" hidden="false" customHeight="true" outlineLevel="0" collapsed="false">
      <c r="A105" s="14" t="n">
        <v>46076</v>
      </c>
      <c r="B105" s="6" t="s">
        <v>41</v>
      </c>
      <c r="C105" s="6" t="s">
        <v>15</v>
      </c>
      <c r="D105" s="15" t="n">
        <v>271</v>
      </c>
      <c r="E105" s="6" t="s">
        <v>51</v>
      </c>
      <c r="F105" s="16" t="str">
        <f aca="false">IF(OR(B105="Day",B105="Week"),"W"&amp;TEXT(WEEKNUM(A105,21),"00"),"")</f>
        <v>W09</v>
      </c>
      <c r="G105" s="16" t="str">
        <f aca="false">IF(OR(B105="Day",B105="Month"),TEXT(A105,"mmm yyyy"),"")</f>
        <v/>
      </c>
      <c r="H105" s="16" t="str">
        <f aca="false">IF(OR(B105="Day",B105="Month"),"Q"&amp;ROUNDUP(MONTH(A105)/3,0)&amp;" "&amp;YEAR(A105),"")</f>
        <v/>
      </c>
    </row>
    <row r="106" customFormat="false" ht="15" hidden="false" customHeight="true" outlineLevel="0" collapsed="false">
      <c r="A106" s="14" t="n">
        <v>46076</v>
      </c>
      <c r="B106" s="6" t="s">
        <v>41</v>
      </c>
      <c r="C106" s="6" t="s">
        <v>19</v>
      </c>
      <c r="D106" s="15" t="n">
        <v>47</v>
      </c>
      <c r="E106" s="6" t="s">
        <v>51</v>
      </c>
      <c r="F106" s="16" t="str">
        <f aca="false">IF(OR(B106="Day",B106="Week"),"W"&amp;TEXT(WEEKNUM(A106,21),"00"),"")</f>
        <v>W09</v>
      </c>
      <c r="G106" s="16" t="str">
        <f aca="false">IF(OR(B106="Day",B106="Month"),TEXT(A106,"mmm yyyy"),"")</f>
        <v/>
      </c>
      <c r="H106" s="16" t="str">
        <f aca="false">IF(OR(B106="Day",B106="Month"),"Q"&amp;ROUNDUP(MONTH(A106)/3,0)&amp;" "&amp;YEAR(A106),"")</f>
        <v/>
      </c>
    </row>
    <row r="107" customFormat="false" ht="15" hidden="false" customHeight="true" outlineLevel="0" collapsed="false">
      <c r="A107" s="14" t="n">
        <v>46076</v>
      </c>
      <c r="B107" s="6" t="s">
        <v>41</v>
      </c>
      <c r="C107" s="6" t="s">
        <v>21</v>
      </c>
      <c r="D107" s="15" t="n">
        <v>193</v>
      </c>
      <c r="E107" s="6" t="s">
        <v>51</v>
      </c>
      <c r="F107" s="16" t="str">
        <f aca="false">IF(OR(B107="Day",B107="Week"),"W"&amp;TEXT(WEEKNUM(A107,21),"00"),"")</f>
        <v>W09</v>
      </c>
      <c r="G107" s="16" t="str">
        <f aca="false">IF(OR(B107="Day",B107="Month"),TEXT(A107,"mmm yyyy"),"")</f>
        <v/>
      </c>
      <c r="H107" s="16" t="str">
        <f aca="false">IF(OR(B107="Day",B107="Month"),"Q"&amp;ROUNDUP(MONTH(A107)/3,0)&amp;" "&amp;YEAR(A107),"")</f>
        <v/>
      </c>
    </row>
    <row r="108" customFormat="false" ht="15" hidden="false" customHeight="true" outlineLevel="0" collapsed="false">
      <c r="A108" s="14" t="n">
        <v>46076</v>
      </c>
      <c r="B108" s="6" t="s">
        <v>41</v>
      </c>
      <c r="C108" s="6" t="s">
        <v>23</v>
      </c>
      <c r="D108" s="15" t="n">
        <v>21</v>
      </c>
      <c r="E108" s="6" t="s">
        <v>51</v>
      </c>
      <c r="F108" s="16" t="str">
        <f aca="false">IF(OR(B108="Day",B108="Week"),"W"&amp;TEXT(WEEKNUM(A108,21),"00"),"")</f>
        <v>W09</v>
      </c>
      <c r="G108" s="16" t="str">
        <f aca="false">IF(OR(B108="Day",B108="Month"),TEXT(A108,"mmm yyyy"),"")</f>
        <v/>
      </c>
      <c r="H108" s="16" t="str">
        <f aca="false">IF(OR(B108="Day",B108="Month"),"Q"&amp;ROUNDUP(MONTH(A108)/3,0)&amp;" "&amp;YEAR(A108),"")</f>
        <v/>
      </c>
    </row>
    <row r="109" customFormat="false" ht="15" hidden="false" customHeight="true" outlineLevel="0" collapsed="false">
      <c r="A109" s="14" t="n">
        <v>46076</v>
      </c>
      <c r="B109" s="6" t="s">
        <v>41</v>
      </c>
      <c r="C109" s="6" t="s">
        <v>27</v>
      </c>
      <c r="D109" s="15" t="n">
        <v>4792000</v>
      </c>
      <c r="E109" s="6" t="s">
        <v>51</v>
      </c>
      <c r="F109" s="16" t="str">
        <f aca="false">IF(OR(B109="Day",B109="Week"),"W"&amp;TEXT(WEEKNUM(A109,21),"00"),"")</f>
        <v>W09</v>
      </c>
      <c r="G109" s="16" t="str">
        <f aca="false">IF(OR(B109="Day",B109="Month"),TEXT(A109,"mmm yyyy"),"")</f>
        <v/>
      </c>
      <c r="H109" s="16" t="str">
        <f aca="false">IF(OR(B109="Day",B109="Month"),"Q"&amp;ROUNDUP(MONTH(A109)/3,0)&amp;" "&amp;YEAR(A109),"")</f>
        <v/>
      </c>
    </row>
    <row r="110" customFormat="false" ht="15" hidden="false" customHeight="true" outlineLevel="0" collapsed="false">
      <c r="A110" s="14" t="n">
        <v>46083</v>
      </c>
      <c r="B110" s="6" t="s">
        <v>41</v>
      </c>
      <c r="C110" s="6" t="s">
        <v>11</v>
      </c>
      <c r="D110" s="15" t="n">
        <v>306</v>
      </c>
      <c r="E110" s="6" t="s">
        <v>52</v>
      </c>
      <c r="F110" s="16" t="str">
        <f aca="false">IF(OR(B110="Day",B110="Week"),"W"&amp;TEXT(WEEKNUM(A110,21),"00"),"")</f>
        <v>W10</v>
      </c>
      <c r="G110" s="16" t="str">
        <f aca="false">IF(OR(B110="Day",B110="Month"),TEXT(A110,"mmm yyyy"),"")</f>
        <v/>
      </c>
      <c r="H110" s="16" t="str">
        <f aca="false">IF(OR(B110="Day",B110="Month"),"Q"&amp;ROUNDUP(MONTH(A110)/3,0)&amp;" "&amp;YEAR(A110),"")</f>
        <v/>
      </c>
    </row>
    <row r="111" customFormat="false" ht="15" hidden="false" customHeight="true" outlineLevel="0" collapsed="false">
      <c r="A111" s="14" t="n">
        <v>46083</v>
      </c>
      <c r="B111" s="6" t="s">
        <v>41</v>
      </c>
      <c r="C111" s="6" t="s">
        <v>15</v>
      </c>
      <c r="D111" s="15" t="n">
        <v>290</v>
      </c>
      <c r="E111" s="6" t="s">
        <v>52</v>
      </c>
      <c r="F111" s="16" t="str">
        <f aca="false">IF(OR(B111="Day",B111="Week"),"W"&amp;TEXT(WEEKNUM(A111,21),"00"),"")</f>
        <v>W10</v>
      </c>
      <c r="G111" s="16" t="str">
        <f aca="false">IF(OR(B111="Day",B111="Month"),TEXT(A111,"mmm yyyy"),"")</f>
        <v/>
      </c>
      <c r="H111" s="16" t="str">
        <f aca="false">IF(OR(B111="Day",B111="Month"),"Q"&amp;ROUNDUP(MONTH(A111)/3,0)&amp;" "&amp;YEAR(A111),"")</f>
        <v/>
      </c>
    </row>
    <row r="112" customFormat="false" ht="15" hidden="false" customHeight="true" outlineLevel="0" collapsed="false">
      <c r="A112" s="14" t="n">
        <v>46083</v>
      </c>
      <c r="B112" s="6" t="s">
        <v>41</v>
      </c>
      <c r="C112" s="6" t="s">
        <v>19</v>
      </c>
      <c r="D112" s="15" t="n">
        <v>53</v>
      </c>
      <c r="E112" s="6" t="s">
        <v>52</v>
      </c>
      <c r="F112" s="16" t="str">
        <f aca="false">IF(OR(B112="Day",B112="Week"),"W"&amp;TEXT(WEEKNUM(A112,21),"00"),"")</f>
        <v>W10</v>
      </c>
      <c r="G112" s="16" t="str">
        <f aca="false">IF(OR(B112="Day",B112="Month"),TEXT(A112,"mmm yyyy"),"")</f>
        <v/>
      </c>
      <c r="H112" s="16" t="str">
        <f aca="false">IF(OR(B112="Day",B112="Month"),"Q"&amp;ROUNDUP(MONTH(A112)/3,0)&amp;" "&amp;YEAR(A112),"")</f>
        <v/>
      </c>
    </row>
    <row r="113" customFormat="false" ht="15" hidden="false" customHeight="true" outlineLevel="0" collapsed="false">
      <c r="A113" s="14" t="n">
        <v>46083</v>
      </c>
      <c r="B113" s="6" t="s">
        <v>41</v>
      </c>
      <c r="C113" s="6" t="s">
        <v>21</v>
      </c>
      <c r="D113" s="15" t="n">
        <v>159</v>
      </c>
      <c r="E113" s="6" t="s">
        <v>52</v>
      </c>
      <c r="F113" s="16" t="str">
        <f aca="false">IF(OR(B113="Day",B113="Week"),"W"&amp;TEXT(WEEKNUM(A113,21),"00"),"")</f>
        <v>W10</v>
      </c>
      <c r="G113" s="16" t="str">
        <f aca="false">IF(OR(B113="Day",B113="Month"),TEXT(A113,"mmm yyyy"),"")</f>
        <v/>
      </c>
      <c r="H113" s="16" t="str">
        <f aca="false">IF(OR(B113="Day",B113="Month"),"Q"&amp;ROUNDUP(MONTH(A113)/3,0)&amp;" "&amp;YEAR(A113),"")</f>
        <v/>
      </c>
    </row>
    <row r="114" customFormat="false" ht="15" hidden="false" customHeight="true" outlineLevel="0" collapsed="false">
      <c r="A114" s="14" t="n">
        <v>46083</v>
      </c>
      <c r="B114" s="6" t="s">
        <v>41</v>
      </c>
      <c r="C114" s="6" t="s">
        <v>23</v>
      </c>
      <c r="D114" s="15" t="n">
        <v>25.8</v>
      </c>
      <c r="E114" s="6" t="s">
        <v>52</v>
      </c>
      <c r="F114" s="16" t="str">
        <f aca="false">IF(OR(B114="Day",B114="Week"),"W"&amp;TEXT(WEEKNUM(A114,21),"00"),"")</f>
        <v>W10</v>
      </c>
      <c r="G114" s="16" t="str">
        <f aca="false">IF(OR(B114="Day",B114="Month"),TEXT(A114,"mmm yyyy"),"")</f>
        <v/>
      </c>
      <c r="H114" s="16" t="str">
        <f aca="false">IF(OR(B114="Day",B114="Month"),"Q"&amp;ROUNDUP(MONTH(A114)/3,0)&amp;" "&amp;YEAR(A114),"")</f>
        <v/>
      </c>
    </row>
    <row r="115" customFormat="false" ht="15" hidden="false" customHeight="true" outlineLevel="0" collapsed="false">
      <c r="A115" s="14" t="n">
        <v>46083</v>
      </c>
      <c r="B115" s="6" t="s">
        <v>41</v>
      </c>
      <c r="C115" s="6" t="s">
        <v>27</v>
      </c>
      <c r="D115" s="15" t="n">
        <v>5264000</v>
      </c>
      <c r="E115" s="6" t="s">
        <v>52</v>
      </c>
      <c r="F115" s="16" t="str">
        <f aca="false">IF(OR(B115="Day",B115="Week"),"W"&amp;TEXT(WEEKNUM(A115,21),"00"),"")</f>
        <v>W10</v>
      </c>
      <c r="G115" s="16" t="str">
        <f aca="false">IF(OR(B115="Day",B115="Month"),TEXT(A115,"mmm yyyy"),"")</f>
        <v/>
      </c>
      <c r="H115" s="16" t="str">
        <f aca="false">IF(OR(B115="Day",B115="Month"),"Q"&amp;ROUNDUP(MONTH(A115)/3,0)&amp;" "&amp;YEAR(A115),"")</f>
        <v/>
      </c>
    </row>
    <row r="116" customFormat="false" ht="15" hidden="false" customHeight="true" outlineLevel="0" collapsed="false">
      <c r="A116" s="14" t="n">
        <v>46090</v>
      </c>
      <c r="B116" s="6" t="s">
        <v>41</v>
      </c>
      <c r="C116" s="6" t="s">
        <v>11</v>
      </c>
      <c r="D116" s="15" t="n">
        <v>312</v>
      </c>
      <c r="E116" s="6" t="s">
        <v>53</v>
      </c>
      <c r="F116" s="16" t="str">
        <f aca="false">IF(OR(B116="Day",B116="Week"),"W"&amp;TEXT(WEEKNUM(A116,21),"00"),"")</f>
        <v>W11</v>
      </c>
      <c r="G116" s="16" t="str">
        <f aca="false">IF(OR(B116="Day",B116="Month"),TEXT(A116,"mmm yyyy"),"")</f>
        <v/>
      </c>
      <c r="H116" s="16" t="str">
        <f aca="false">IF(OR(B116="Day",B116="Month"),"Q"&amp;ROUNDUP(MONTH(A116)/3,0)&amp;" "&amp;YEAR(A116),"")</f>
        <v/>
      </c>
    </row>
    <row r="117" customFormat="false" ht="15" hidden="false" customHeight="true" outlineLevel="0" collapsed="false">
      <c r="A117" s="14" t="n">
        <v>46090</v>
      </c>
      <c r="B117" s="6" t="s">
        <v>41</v>
      </c>
      <c r="C117" s="6" t="s">
        <v>15</v>
      </c>
      <c r="D117" s="15" t="n">
        <v>290</v>
      </c>
      <c r="E117" s="6" t="s">
        <v>53</v>
      </c>
      <c r="F117" s="16" t="str">
        <f aca="false">IF(OR(B117="Day",B117="Week"),"W"&amp;TEXT(WEEKNUM(A117,21),"00"),"")</f>
        <v>W11</v>
      </c>
      <c r="G117" s="16" t="str">
        <f aca="false">IF(OR(B117="Day",B117="Month"),TEXT(A117,"mmm yyyy"),"")</f>
        <v/>
      </c>
      <c r="H117" s="16" t="str">
        <f aca="false">IF(OR(B117="Day",B117="Month"),"Q"&amp;ROUNDUP(MONTH(A117)/3,0)&amp;" "&amp;YEAR(A117),"")</f>
        <v/>
      </c>
    </row>
    <row r="118" customFormat="false" ht="15" hidden="false" customHeight="true" outlineLevel="0" collapsed="false">
      <c r="A118" s="14" t="n">
        <v>46090</v>
      </c>
      <c r="B118" s="6" t="s">
        <v>41</v>
      </c>
      <c r="C118" s="6" t="s">
        <v>19</v>
      </c>
      <c r="D118" s="15" t="n">
        <v>49</v>
      </c>
      <c r="E118" s="6" t="s">
        <v>53</v>
      </c>
      <c r="F118" s="16" t="str">
        <f aca="false">IF(OR(B118="Day",B118="Week"),"W"&amp;TEXT(WEEKNUM(A118,21),"00"),"")</f>
        <v>W11</v>
      </c>
      <c r="G118" s="16" t="str">
        <f aca="false">IF(OR(B118="Day",B118="Month"),TEXT(A118,"mmm yyyy"),"")</f>
        <v/>
      </c>
      <c r="H118" s="16" t="str">
        <f aca="false">IF(OR(B118="Day",B118="Month"),"Q"&amp;ROUNDUP(MONTH(A118)/3,0)&amp;" "&amp;YEAR(A118),"")</f>
        <v/>
      </c>
    </row>
    <row r="119" customFormat="false" ht="15" hidden="false" customHeight="true" outlineLevel="0" collapsed="false">
      <c r="A119" s="14" t="n">
        <v>46090</v>
      </c>
      <c r="B119" s="6" t="s">
        <v>41</v>
      </c>
      <c r="C119" s="6" t="s">
        <v>21</v>
      </c>
      <c r="D119" s="15" t="n">
        <v>180</v>
      </c>
      <c r="E119" s="6" t="s">
        <v>53</v>
      </c>
      <c r="F119" s="16" t="str">
        <f aca="false">IF(OR(B119="Day",B119="Week"),"W"&amp;TEXT(WEEKNUM(A119,21),"00"),"")</f>
        <v>W11</v>
      </c>
      <c r="G119" s="16" t="str">
        <f aca="false">IF(OR(B119="Day",B119="Month"),TEXT(A119,"mmm yyyy"),"")</f>
        <v/>
      </c>
      <c r="H119" s="16" t="str">
        <f aca="false">IF(OR(B119="Day",B119="Month"),"Q"&amp;ROUNDUP(MONTH(A119)/3,0)&amp;" "&amp;YEAR(A119),"")</f>
        <v/>
      </c>
    </row>
    <row r="120" customFormat="false" ht="15" hidden="false" customHeight="true" outlineLevel="0" collapsed="false">
      <c r="A120" s="14" t="n">
        <v>46090</v>
      </c>
      <c r="B120" s="6" t="s">
        <v>41</v>
      </c>
      <c r="C120" s="6" t="s">
        <v>23</v>
      </c>
      <c r="D120" s="15" t="n">
        <v>22.9</v>
      </c>
      <c r="E120" s="6" t="s">
        <v>53</v>
      </c>
      <c r="F120" s="16" t="str">
        <f aca="false">IF(OR(B120="Day",B120="Week"),"W"&amp;TEXT(WEEKNUM(A120,21),"00"),"")</f>
        <v>W11</v>
      </c>
      <c r="G120" s="16" t="str">
        <f aca="false">IF(OR(B120="Day",B120="Month"),TEXT(A120,"mmm yyyy"),"")</f>
        <v/>
      </c>
      <c r="H120" s="16" t="str">
        <f aca="false">IF(OR(B120="Day",B120="Month"),"Q"&amp;ROUNDUP(MONTH(A120)/3,0)&amp;" "&amp;YEAR(A120),"")</f>
        <v/>
      </c>
    </row>
    <row r="121" customFormat="false" ht="15" hidden="false" customHeight="true" outlineLevel="0" collapsed="false">
      <c r="A121" s="14" t="n">
        <v>46090</v>
      </c>
      <c r="B121" s="6" t="s">
        <v>41</v>
      </c>
      <c r="C121" s="6" t="s">
        <v>27</v>
      </c>
      <c r="D121" s="15" t="n">
        <v>4762000</v>
      </c>
      <c r="E121" s="6" t="s">
        <v>53</v>
      </c>
      <c r="F121" s="16" t="str">
        <f aca="false">IF(OR(B121="Day",B121="Week"),"W"&amp;TEXT(WEEKNUM(A121,21),"00"),"")</f>
        <v>W11</v>
      </c>
      <c r="G121" s="16" t="str">
        <f aca="false">IF(OR(B121="Day",B121="Month"),TEXT(A121,"mmm yyyy"),"")</f>
        <v/>
      </c>
      <c r="H121" s="16" t="str">
        <f aca="false">IF(OR(B121="Day",B121="Month"),"Q"&amp;ROUNDUP(MONTH(A121)/3,0)&amp;" "&amp;YEAR(A121),"")</f>
        <v/>
      </c>
    </row>
    <row r="122" customFormat="false" ht="15" hidden="false" customHeight="true" outlineLevel="0" collapsed="false">
      <c r="A122" s="14" t="n">
        <v>46097</v>
      </c>
      <c r="B122" s="6" t="s">
        <v>41</v>
      </c>
      <c r="C122" s="6" t="s">
        <v>11</v>
      </c>
      <c r="D122" s="15" t="n">
        <v>313</v>
      </c>
      <c r="E122" s="6" t="s">
        <v>54</v>
      </c>
      <c r="F122" s="16" t="str">
        <f aca="false">IF(OR(B122="Day",B122="Week"),"W"&amp;TEXT(WEEKNUM(A122,21),"00"),"")</f>
        <v>W12</v>
      </c>
      <c r="G122" s="16" t="str">
        <f aca="false">IF(OR(B122="Day",B122="Month"),TEXT(A122,"mmm yyyy"),"")</f>
        <v/>
      </c>
      <c r="H122" s="16" t="str">
        <f aca="false">IF(OR(B122="Day",B122="Month"),"Q"&amp;ROUNDUP(MONTH(A122)/3,0)&amp;" "&amp;YEAR(A122),"")</f>
        <v/>
      </c>
    </row>
    <row r="123" customFormat="false" ht="15" hidden="false" customHeight="true" outlineLevel="0" collapsed="false">
      <c r="A123" s="14" t="n">
        <v>46097</v>
      </c>
      <c r="B123" s="6" t="s">
        <v>41</v>
      </c>
      <c r="C123" s="6" t="s">
        <v>15</v>
      </c>
      <c r="D123" s="15" t="n">
        <v>289</v>
      </c>
      <c r="E123" s="6" t="s">
        <v>54</v>
      </c>
      <c r="F123" s="16" t="str">
        <f aca="false">IF(OR(B123="Day",B123="Week"),"W"&amp;TEXT(WEEKNUM(A123,21),"00"),"")</f>
        <v>W12</v>
      </c>
      <c r="G123" s="16" t="str">
        <f aca="false">IF(OR(B123="Day",B123="Month"),TEXT(A123,"mmm yyyy"),"")</f>
        <v/>
      </c>
      <c r="H123" s="16" t="str">
        <f aca="false">IF(OR(B123="Day",B123="Month"),"Q"&amp;ROUNDUP(MONTH(A123)/3,0)&amp;" "&amp;YEAR(A123),"")</f>
        <v/>
      </c>
    </row>
    <row r="124" customFormat="false" ht="15" hidden="false" customHeight="true" outlineLevel="0" collapsed="false">
      <c r="A124" s="14" t="n">
        <v>46097</v>
      </c>
      <c r="B124" s="6" t="s">
        <v>41</v>
      </c>
      <c r="C124" s="6" t="s">
        <v>19</v>
      </c>
      <c r="D124" s="15" t="n">
        <v>55</v>
      </c>
      <c r="E124" s="6" t="s">
        <v>54</v>
      </c>
      <c r="F124" s="16" t="str">
        <f aca="false">IF(OR(B124="Day",B124="Week"),"W"&amp;TEXT(WEEKNUM(A124,21),"00"),"")</f>
        <v>W12</v>
      </c>
      <c r="G124" s="16" t="str">
        <f aca="false">IF(OR(B124="Day",B124="Month"),TEXT(A124,"mmm yyyy"),"")</f>
        <v/>
      </c>
      <c r="H124" s="16" t="str">
        <f aca="false">IF(OR(B124="Day",B124="Month"),"Q"&amp;ROUNDUP(MONTH(A124)/3,0)&amp;" "&amp;YEAR(A124),"")</f>
        <v/>
      </c>
    </row>
    <row r="125" customFormat="false" ht="15" hidden="false" customHeight="true" outlineLevel="0" collapsed="false">
      <c r="A125" s="14" t="n">
        <v>46097</v>
      </c>
      <c r="B125" s="6" t="s">
        <v>41</v>
      </c>
      <c r="C125" s="6" t="s">
        <v>21</v>
      </c>
      <c r="D125" s="15" t="n">
        <v>185</v>
      </c>
      <c r="E125" s="6" t="s">
        <v>54</v>
      </c>
      <c r="F125" s="16" t="str">
        <f aca="false">IF(OR(B125="Day",B125="Week"),"W"&amp;TEXT(WEEKNUM(A125,21),"00"),"")</f>
        <v>W12</v>
      </c>
      <c r="G125" s="16" t="str">
        <f aca="false">IF(OR(B125="Day",B125="Month"),TEXT(A125,"mmm yyyy"),"")</f>
        <v/>
      </c>
      <c r="H125" s="16" t="str">
        <f aca="false">IF(OR(B125="Day",B125="Month"),"Q"&amp;ROUNDUP(MONTH(A125)/3,0)&amp;" "&amp;YEAR(A125),"")</f>
        <v/>
      </c>
    </row>
    <row r="126" customFormat="false" ht="15" hidden="false" customHeight="true" outlineLevel="0" collapsed="false">
      <c r="A126" s="14" t="n">
        <v>46097</v>
      </c>
      <c r="B126" s="6" t="s">
        <v>41</v>
      </c>
      <c r="C126" s="6" t="s">
        <v>23</v>
      </c>
      <c r="D126" s="15" t="n">
        <v>21.4</v>
      </c>
      <c r="E126" s="6" t="s">
        <v>54</v>
      </c>
      <c r="F126" s="16" t="str">
        <f aca="false">IF(OR(B126="Day",B126="Week"),"W"&amp;TEXT(WEEKNUM(A126,21),"00"),"")</f>
        <v>W12</v>
      </c>
      <c r="G126" s="16" t="str">
        <f aca="false">IF(OR(B126="Day",B126="Month"),TEXT(A126,"mmm yyyy"),"")</f>
        <v/>
      </c>
      <c r="H126" s="16" t="str">
        <f aca="false">IF(OR(B126="Day",B126="Month"),"Q"&amp;ROUNDUP(MONTH(A126)/3,0)&amp;" "&amp;YEAR(A126),"")</f>
        <v/>
      </c>
    </row>
    <row r="127" customFormat="false" ht="15" hidden="false" customHeight="true" outlineLevel="0" collapsed="false">
      <c r="A127" s="14" t="n">
        <v>46097</v>
      </c>
      <c r="B127" s="6" t="s">
        <v>41</v>
      </c>
      <c r="C127" s="6" t="s">
        <v>27</v>
      </c>
      <c r="D127" s="15" t="n">
        <v>5194000</v>
      </c>
      <c r="E127" s="6" t="s">
        <v>54</v>
      </c>
      <c r="F127" s="16" t="str">
        <f aca="false">IF(OR(B127="Day",B127="Week"),"W"&amp;TEXT(WEEKNUM(A127,21),"00"),"")</f>
        <v>W12</v>
      </c>
      <c r="G127" s="16" t="str">
        <f aca="false">IF(OR(B127="Day",B127="Month"),TEXT(A127,"mmm yyyy"),"")</f>
        <v/>
      </c>
      <c r="H127" s="16" t="str">
        <f aca="false">IF(OR(B127="Day",B127="Month"),"Q"&amp;ROUNDUP(MONTH(A127)/3,0)&amp;" "&amp;YEAR(A127),"")</f>
        <v/>
      </c>
    </row>
    <row r="128" customFormat="false" ht="15" hidden="false" customHeight="true" outlineLevel="0" collapsed="false">
      <c r="A128" s="14" t="n">
        <v>46104</v>
      </c>
      <c r="B128" s="6" t="s">
        <v>41</v>
      </c>
      <c r="C128" s="6" t="s">
        <v>11</v>
      </c>
      <c r="D128" s="15" t="n">
        <v>279</v>
      </c>
      <c r="E128" s="6" t="s">
        <v>55</v>
      </c>
      <c r="F128" s="16" t="str">
        <f aca="false">IF(OR(B128="Day",B128="Week"),"W"&amp;TEXT(WEEKNUM(A128,21),"00"),"")</f>
        <v>W13</v>
      </c>
      <c r="G128" s="16" t="str">
        <f aca="false">IF(OR(B128="Day",B128="Month"),TEXT(A128,"mmm yyyy"),"")</f>
        <v/>
      </c>
      <c r="H128" s="16" t="str">
        <f aca="false">IF(OR(B128="Day",B128="Month"),"Q"&amp;ROUNDUP(MONTH(A128)/3,0)&amp;" "&amp;YEAR(A128),"")</f>
        <v/>
      </c>
    </row>
    <row r="129" customFormat="false" ht="15" hidden="false" customHeight="true" outlineLevel="0" collapsed="false">
      <c r="A129" s="14" t="n">
        <v>46104</v>
      </c>
      <c r="B129" s="6" t="s">
        <v>41</v>
      </c>
      <c r="C129" s="6" t="s">
        <v>15</v>
      </c>
      <c r="D129" s="15" t="n">
        <v>262</v>
      </c>
      <c r="E129" s="6" t="s">
        <v>55</v>
      </c>
      <c r="F129" s="16" t="str">
        <f aca="false">IF(OR(B129="Day",B129="Week"),"W"&amp;TEXT(WEEKNUM(A129,21),"00"),"")</f>
        <v>W13</v>
      </c>
      <c r="G129" s="16" t="str">
        <f aca="false">IF(OR(B129="Day",B129="Month"),TEXT(A129,"mmm yyyy"),"")</f>
        <v/>
      </c>
      <c r="H129" s="16" t="str">
        <f aca="false">IF(OR(B129="Day",B129="Month"),"Q"&amp;ROUNDUP(MONTH(A129)/3,0)&amp;" "&amp;YEAR(A129),"")</f>
        <v/>
      </c>
    </row>
    <row r="130" customFormat="false" ht="15" hidden="false" customHeight="true" outlineLevel="0" collapsed="false">
      <c r="A130" s="14" t="n">
        <v>46104</v>
      </c>
      <c r="B130" s="6" t="s">
        <v>41</v>
      </c>
      <c r="C130" s="6" t="s">
        <v>19</v>
      </c>
      <c r="D130" s="15" t="n">
        <v>49</v>
      </c>
      <c r="E130" s="6" t="s">
        <v>55</v>
      </c>
      <c r="F130" s="16" t="str">
        <f aca="false">IF(OR(B130="Day",B130="Week"),"W"&amp;TEXT(WEEKNUM(A130,21),"00"),"")</f>
        <v>W13</v>
      </c>
      <c r="G130" s="16" t="str">
        <f aca="false">IF(OR(B130="Day",B130="Month"),TEXT(A130,"mmm yyyy"),"")</f>
        <v/>
      </c>
      <c r="H130" s="16" t="str">
        <f aca="false">IF(OR(B130="Day",B130="Month"),"Q"&amp;ROUNDUP(MONTH(A130)/3,0)&amp;" "&amp;YEAR(A130),"")</f>
        <v/>
      </c>
    </row>
    <row r="131" customFormat="false" ht="15" hidden="false" customHeight="true" outlineLevel="0" collapsed="false">
      <c r="A131" s="14" t="n">
        <v>46104</v>
      </c>
      <c r="B131" s="6" t="s">
        <v>41</v>
      </c>
      <c r="C131" s="6" t="s">
        <v>21</v>
      </c>
      <c r="D131" s="15" t="n">
        <v>186</v>
      </c>
      <c r="E131" s="6" t="s">
        <v>55</v>
      </c>
      <c r="F131" s="16" t="str">
        <f aca="false">IF(OR(B131="Day",B131="Week"),"W"&amp;TEXT(WEEKNUM(A131,21),"00"),"")</f>
        <v>W13</v>
      </c>
      <c r="G131" s="16" t="str">
        <f aca="false">IF(OR(B131="Day",B131="Month"),TEXT(A131,"mmm yyyy"),"")</f>
        <v/>
      </c>
      <c r="H131" s="16" t="str">
        <f aca="false">IF(OR(B131="Day",B131="Month"),"Q"&amp;ROUNDUP(MONTH(A131)/3,0)&amp;" "&amp;YEAR(A131),"")</f>
        <v/>
      </c>
    </row>
    <row r="132" customFormat="false" ht="15" hidden="false" customHeight="true" outlineLevel="0" collapsed="false">
      <c r="A132" s="14" t="n">
        <v>46104</v>
      </c>
      <c r="B132" s="6" t="s">
        <v>41</v>
      </c>
      <c r="C132" s="6" t="s">
        <v>23</v>
      </c>
      <c r="D132" s="15" t="n">
        <v>19.7</v>
      </c>
      <c r="E132" s="6" t="s">
        <v>55</v>
      </c>
      <c r="F132" s="16" t="str">
        <f aca="false">IF(OR(B132="Day",B132="Week"),"W"&amp;TEXT(WEEKNUM(A132,21),"00"),"")</f>
        <v>W13</v>
      </c>
      <c r="G132" s="16" t="str">
        <f aca="false">IF(OR(B132="Day",B132="Month"),TEXT(A132,"mmm yyyy"),"")</f>
        <v/>
      </c>
      <c r="H132" s="16" t="str">
        <f aca="false">IF(OR(B132="Day",B132="Month"),"Q"&amp;ROUNDUP(MONTH(A132)/3,0)&amp;" "&amp;YEAR(A132),"")</f>
        <v/>
      </c>
    </row>
    <row r="133" customFormat="false" ht="15" hidden="false" customHeight="true" outlineLevel="0" collapsed="false">
      <c r="A133" s="14" t="n">
        <v>46104</v>
      </c>
      <c r="B133" s="6" t="s">
        <v>41</v>
      </c>
      <c r="C133" s="6" t="s">
        <v>27</v>
      </c>
      <c r="D133" s="15" t="n">
        <v>4837000</v>
      </c>
      <c r="E133" s="6" t="s">
        <v>55</v>
      </c>
      <c r="F133" s="16" t="str">
        <f aca="false">IF(OR(B133="Day",B133="Week"),"W"&amp;TEXT(WEEKNUM(A133,21),"00"),"")</f>
        <v>W13</v>
      </c>
      <c r="G133" s="16" t="str">
        <f aca="false">IF(OR(B133="Day",B133="Month"),TEXT(A133,"mmm yyyy"),"")</f>
        <v/>
      </c>
      <c r="H133" s="16" t="str">
        <f aca="false">IF(OR(B133="Day",B133="Month"),"Q"&amp;ROUNDUP(MONTH(A133)/3,0)&amp;" "&amp;YEAR(A133),"")</f>
        <v/>
      </c>
    </row>
    <row r="134" customFormat="false" ht="15" hidden="false" customHeight="true" outlineLevel="0" collapsed="false">
      <c r="A134" s="14" t="n">
        <v>46111</v>
      </c>
      <c r="B134" s="6" t="s">
        <v>41</v>
      </c>
      <c r="C134" s="6" t="s">
        <v>11</v>
      </c>
      <c r="D134" s="15" t="n">
        <v>307</v>
      </c>
      <c r="E134" s="6" t="s">
        <v>56</v>
      </c>
      <c r="F134" s="16" t="str">
        <f aca="false">IF(OR(B134="Day",B134="Week"),"W"&amp;TEXT(WEEKNUM(A134,21),"00"),"")</f>
        <v>W14</v>
      </c>
      <c r="G134" s="16" t="str">
        <f aca="false">IF(OR(B134="Day",B134="Month"),TEXT(A134,"mmm yyyy"),"")</f>
        <v/>
      </c>
      <c r="H134" s="16" t="str">
        <f aca="false">IF(OR(B134="Day",B134="Month"),"Q"&amp;ROUNDUP(MONTH(A134)/3,0)&amp;" "&amp;YEAR(A134),"")</f>
        <v/>
      </c>
    </row>
    <row r="135" customFormat="false" ht="15" hidden="false" customHeight="true" outlineLevel="0" collapsed="false">
      <c r="A135" s="14" t="n">
        <v>46111</v>
      </c>
      <c r="B135" s="6" t="s">
        <v>41</v>
      </c>
      <c r="C135" s="6" t="s">
        <v>15</v>
      </c>
      <c r="D135" s="15" t="n">
        <v>288</v>
      </c>
      <c r="E135" s="6" t="s">
        <v>56</v>
      </c>
      <c r="F135" s="16" t="str">
        <f aca="false">IF(OR(B135="Day",B135="Week"),"W"&amp;TEXT(WEEKNUM(A135,21),"00"),"")</f>
        <v>W14</v>
      </c>
      <c r="G135" s="16" t="str">
        <f aca="false">IF(OR(B135="Day",B135="Month"),TEXT(A135,"mmm yyyy"),"")</f>
        <v/>
      </c>
      <c r="H135" s="16" t="str">
        <f aca="false">IF(OR(B135="Day",B135="Month"),"Q"&amp;ROUNDUP(MONTH(A135)/3,0)&amp;" "&amp;YEAR(A135),"")</f>
        <v/>
      </c>
    </row>
    <row r="136" customFormat="false" ht="15" hidden="false" customHeight="true" outlineLevel="0" collapsed="false">
      <c r="A136" s="14" t="n">
        <v>46111</v>
      </c>
      <c r="B136" s="6" t="s">
        <v>41</v>
      </c>
      <c r="C136" s="6" t="s">
        <v>19</v>
      </c>
      <c r="D136" s="15" t="n">
        <v>50</v>
      </c>
      <c r="E136" s="6" t="s">
        <v>56</v>
      </c>
      <c r="F136" s="16" t="str">
        <f aca="false">IF(OR(B136="Day",B136="Week"),"W"&amp;TEXT(WEEKNUM(A136,21),"00"),"")</f>
        <v>W14</v>
      </c>
      <c r="G136" s="16" t="str">
        <f aca="false">IF(OR(B136="Day",B136="Month"),TEXT(A136,"mmm yyyy"),"")</f>
        <v/>
      </c>
      <c r="H136" s="16" t="str">
        <f aca="false">IF(OR(B136="Day",B136="Month"),"Q"&amp;ROUNDUP(MONTH(A136)/3,0)&amp;" "&amp;YEAR(A136),"")</f>
        <v/>
      </c>
    </row>
    <row r="137" customFormat="false" ht="15" hidden="false" customHeight="true" outlineLevel="0" collapsed="false">
      <c r="A137" s="14" t="n">
        <v>46111</v>
      </c>
      <c r="B137" s="6" t="s">
        <v>41</v>
      </c>
      <c r="C137" s="6" t="s">
        <v>21</v>
      </c>
      <c r="D137" s="15" t="n">
        <v>164</v>
      </c>
      <c r="E137" s="6" t="s">
        <v>56</v>
      </c>
      <c r="F137" s="16" t="str">
        <f aca="false">IF(OR(B137="Day",B137="Week"),"W"&amp;TEXT(WEEKNUM(A137,21),"00"),"")</f>
        <v>W14</v>
      </c>
      <c r="G137" s="16" t="str">
        <f aca="false">IF(OR(B137="Day",B137="Month"),TEXT(A137,"mmm yyyy"),"")</f>
        <v/>
      </c>
      <c r="H137" s="16" t="str">
        <f aca="false">IF(OR(B137="Day",B137="Month"),"Q"&amp;ROUNDUP(MONTH(A137)/3,0)&amp;" "&amp;YEAR(A137),"")</f>
        <v/>
      </c>
    </row>
    <row r="138" customFormat="false" ht="15" hidden="false" customHeight="true" outlineLevel="0" collapsed="false">
      <c r="A138" s="14" t="n">
        <v>46111</v>
      </c>
      <c r="B138" s="6" t="s">
        <v>41</v>
      </c>
      <c r="C138" s="6" t="s">
        <v>23</v>
      </c>
      <c r="D138" s="15" t="n">
        <v>27.4</v>
      </c>
      <c r="E138" s="6" t="s">
        <v>56</v>
      </c>
      <c r="F138" s="16" t="str">
        <f aca="false">IF(OR(B138="Day",B138="Week"),"W"&amp;TEXT(WEEKNUM(A138,21),"00"),"")</f>
        <v>W14</v>
      </c>
      <c r="G138" s="16" t="str">
        <f aca="false">IF(OR(B138="Day",B138="Month"),TEXT(A138,"mmm yyyy"),"")</f>
        <v/>
      </c>
      <c r="H138" s="16" t="str">
        <f aca="false">IF(OR(B138="Day",B138="Month"),"Q"&amp;ROUNDUP(MONTH(A138)/3,0)&amp;" "&amp;YEAR(A138),"")</f>
        <v/>
      </c>
    </row>
    <row r="139" customFormat="false" ht="15" hidden="false" customHeight="true" outlineLevel="0" collapsed="false">
      <c r="A139" s="14" t="n">
        <v>46111</v>
      </c>
      <c r="B139" s="6" t="s">
        <v>41</v>
      </c>
      <c r="C139" s="6" t="s">
        <v>27</v>
      </c>
      <c r="D139" s="15" t="n">
        <v>4822000</v>
      </c>
      <c r="E139" s="6" t="s">
        <v>56</v>
      </c>
      <c r="F139" s="16" t="str">
        <f aca="false">IF(OR(B139="Day",B139="Week"),"W"&amp;TEXT(WEEKNUM(A139,21),"00"),"")</f>
        <v>W14</v>
      </c>
      <c r="G139" s="16" t="str">
        <f aca="false">IF(OR(B139="Day",B139="Month"),TEXT(A139,"mmm yyyy"),"")</f>
        <v/>
      </c>
      <c r="H139" s="16" t="str">
        <f aca="false">IF(OR(B139="Day",B139="Month"),"Q"&amp;ROUNDUP(MONTH(A139)/3,0)&amp;" "&amp;YEAR(A139),"")</f>
        <v/>
      </c>
    </row>
    <row r="140" customFormat="false" ht="15" hidden="false" customHeight="true" outlineLevel="0" collapsed="false">
      <c r="A140" s="14" t="n">
        <v>46118</v>
      </c>
      <c r="B140" s="6" t="s">
        <v>41</v>
      </c>
      <c r="C140" s="6" t="s">
        <v>11</v>
      </c>
      <c r="D140" s="15" t="n">
        <v>280</v>
      </c>
      <c r="E140" s="6" t="s">
        <v>57</v>
      </c>
      <c r="F140" s="16" t="str">
        <f aca="false">IF(OR(B140="Day",B140="Week"),"W"&amp;TEXT(WEEKNUM(A140,21),"00"),"")</f>
        <v>W15</v>
      </c>
      <c r="G140" s="16" t="str">
        <f aca="false">IF(OR(B140="Day",B140="Month"),TEXT(A140,"mmm yyyy"),"")</f>
        <v/>
      </c>
      <c r="H140" s="16" t="str">
        <f aca="false">IF(OR(B140="Day",B140="Month"),"Q"&amp;ROUNDUP(MONTH(A140)/3,0)&amp;" "&amp;YEAR(A140),"")</f>
        <v/>
      </c>
    </row>
    <row r="141" customFormat="false" ht="15" hidden="false" customHeight="true" outlineLevel="0" collapsed="false">
      <c r="A141" s="14" t="n">
        <v>46118</v>
      </c>
      <c r="B141" s="6" t="s">
        <v>41</v>
      </c>
      <c r="C141" s="6" t="s">
        <v>15</v>
      </c>
      <c r="D141" s="15" t="n">
        <v>259</v>
      </c>
      <c r="E141" s="6" t="s">
        <v>57</v>
      </c>
      <c r="F141" s="16" t="str">
        <f aca="false">IF(OR(B141="Day",B141="Week"),"W"&amp;TEXT(WEEKNUM(A141,21),"00"),"")</f>
        <v>W15</v>
      </c>
      <c r="G141" s="16" t="str">
        <f aca="false">IF(OR(B141="Day",B141="Month"),TEXT(A141,"mmm yyyy"),"")</f>
        <v/>
      </c>
      <c r="H141" s="16" t="str">
        <f aca="false">IF(OR(B141="Day",B141="Month"),"Q"&amp;ROUNDUP(MONTH(A141)/3,0)&amp;" "&amp;YEAR(A141),"")</f>
        <v/>
      </c>
    </row>
    <row r="142" customFormat="false" ht="15" hidden="false" customHeight="true" outlineLevel="0" collapsed="false">
      <c r="A142" s="14" t="n">
        <v>46118</v>
      </c>
      <c r="B142" s="6" t="s">
        <v>41</v>
      </c>
      <c r="C142" s="6" t="s">
        <v>19</v>
      </c>
      <c r="D142" s="15" t="n">
        <v>47</v>
      </c>
      <c r="E142" s="6" t="s">
        <v>57</v>
      </c>
      <c r="F142" s="16" t="str">
        <f aca="false">IF(OR(B142="Day",B142="Week"),"W"&amp;TEXT(WEEKNUM(A142,21),"00"),"")</f>
        <v>W15</v>
      </c>
      <c r="G142" s="16" t="str">
        <f aca="false">IF(OR(B142="Day",B142="Month"),TEXT(A142,"mmm yyyy"),"")</f>
        <v/>
      </c>
      <c r="H142" s="16" t="str">
        <f aca="false">IF(OR(B142="Day",B142="Month"),"Q"&amp;ROUNDUP(MONTH(A142)/3,0)&amp;" "&amp;YEAR(A142),"")</f>
        <v/>
      </c>
    </row>
    <row r="143" customFormat="false" ht="15" hidden="false" customHeight="true" outlineLevel="0" collapsed="false">
      <c r="A143" s="14" t="n">
        <v>46118</v>
      </c>
      <c r="B143" s="6" t="s">
        <v>41</v>
      </c>
      <c r="C143" s="6" t="s">
        <v>21</v>
      </c>
      <c r="D143" s="15" t="n">
        <v>153</v>
      </c>
      <c r="E143" s="6" t="s">
        <v>57</v>
      </c>
      <c r="F143" s="16" t="str">
        <f aca="false">IF(OR(B143="Day",B143="Week"),"W"&amp;TEXT(WEEKNUM(A143,21),"00"),"")</f>
        <v>W15</v>
      </c>
      <c r="G143" s="16" t="str">
        <f aca="false">IF(OR(B143="Day",B143="Month"),TEXT(A143,"mmm yyyy"),"")</f>
        <v/>
      </c>
      <c r="H143" s="16" t="str">
        <f aca="false">IF(OR(B143="Day",B143="Month"),"Q"&amp;ROUNDUP(MONTH(A143)/3,0)&amp;" "&amp;YEAR(A143),"")</f>
        <v/>
      </c>
    </row>
    <row r="144" customFormat="false" ht="15" hidden="false" customHeight="true" outlineLevel="0" collapsed="false">
      <c r="A144" s="14" t="n">
        <v>46118</v>
      </c>
      <c r="B144" s="6" t="s">
        <v>41</v>
      </c>
      <c r="C144" s="6" t="s">
        <v>23</v>
      </c>
      <c r="D144" s="15" t="n">
        <v>20.4</v>
      </c>
      <c r="E144" s="6" t="s">
        <v>57</v>
      </c>
      <c r="F144" s="16" t="str">
        <f aca="false">IF(OR(B144="Day",B144="Week"),"W"&amp;TEXT(WEEKNUM(A144,21),"00"),"")</f>
        <v>W15</v>
      </c>
      <c r="G144" s="16" t="str">
        <f aca="false">IF(OR(B144="Day",B144="Month"),TEXT(A144,"mmm yyyy"),"")</f>
        <v/>
      </c>
      <c r="H144" s="16" t="str">
        <f aca="false">IF(OR(B144="Day",B144="Month"),"Q"&amp;ROUNDUP(MONTH(A144)/3,0)&amp;" "&amp;YEAR(A144),"")</f>
        <v/>
      </c>
    </row>
    <row r="145" customFormat="false" ht="15" hidden="false" customHeight="true" outlineLevel="0" collapsed="false">
      <c r="A145" s="14" t="n">
        <v>46118</v>
      </c>
      <c r="B145" s="6" t="s">
        <v>41</v>
      </c>
      <c r="C145" s="6" t="s">
        <v>27</v>
      </c>
      <c r="D145" s="15" t="n">
        <v>4921000</v>
      </c>
      <c r="E145" s="6" t="s">
        <v>57</v>
      </c>
      <c r="F145" s="16" t="str">
        <f aca="false">IF(OR(B145="Day",B145="Week"),"W"&amp;TEXT(WEEKNUM(A145,21),"00"),"")</f>
        <v>W15</v>
      </c>
      <c r="G145" s="16" t="str">
        <f aca="false">IF(OR(B145="Day",B145="Month"),TEXT(A145,"mmm yyyy"),"")</f>
        <v/>
      </c>
      <c r="H145" s="16" t="str">
        <f aca="false">IF(OR(B145="Day",B145="Month"),"Q"&amp;ROUNDUP(MONTH(A145)/3,0)&amp;" "&amp;YEAR(A145),"")</f>
        <v/>
      </c>
    </row>
    <row r="146" customFormat="false" ht="15" hidden="false" customHeight="true" outlineLevel="0" collapsed="false">
      <c r="A146" s="14" t="n">
        <v>46125</v>
      </c>
      <c r="B146" s="6" t="s">
        <v>41</v>
      </c>
      <c r="C146" s="6" t="s">
        <v>11</v>
      </c>
      <c r="D146" s="15" t="n">
        <v>273</v>
      </c>
      <c r="E146" s="6" t="s">
        <v>58</v>
      </c>
      <c r="F146" s="16" t="str">
        <f aca="false">IF(OR(B146="Day",B146="Week"),"W"&amp;TEXT(WEEKNUM(A146,21),"00"),"")</f>
        <v>W16</v>
      </c>
      <c r="G146" s="16" t="str">
        <f aca="false">IF(OR(B146="Day",B146="Month"),TEXT(A146,"mmm yyyy"),"")</f>
        <v/>
      </c>
      <c r="H146" s="16" t="str">
        <f aca="false">IF(OR(B146="Day",B146="Month"),"Q"&amp;ROUNDUP(MONTH(A146)/3,0)&amp;" "&amp;YEAR(A146),"")</f>
        <v/>
      </c>
    </row>
    <row r="147" customFormat="false" ht="15" hidden="false" customHeight="true" outlineLevel="0" collapsed="false">
      <c r="A147" s="14" t="n">
        <v>46125</v>
      </c>
      <c r="B147" s="6" t="s">
        <v>41</v>
      </c>
      <c r="C147" s="6" t="s">
        <v>15</v>
      </c>
      <c r="D147" s="15" t="n">
        <v>257</v>
      </c>
      <c r="E147" s="6" t="s">
        <v>58</v>
      </c>
      <c r="F147" s="16" t="str">
        <f aca="false">IF(OR(B147="Day",B147="Week"),"W"&amp;TEXT(WEEKNUM(A147,21),"00"),"")</f>
        <v>W16</v>
      </c>
      <c r="G147" s="16" t="str">
        <f aca="false">IF(OR(B147="Day",B147="Month"),TEXT(A147,"mmm yyyy"),"")</f>
        <v/>
      </c>
      <c r="H147" s="16" t="str">
        <f aca="false">IF(OR(B147="Day",B147="Month"),"Q"&amp;ROUNDUP(MONTH(A147)/3,0)&amp;" "&amp;YEAR(A147),"")</f>
        <v/>
      </c>
    </row>
    <row r="148" customFormat="false" ht="15" hidden="false" customHeight="true" outlineLevel="0" collapsed="false">
      <c r="A148" s="14" t="n">
        <v>46125</v>
      </c>
      <c r="B148" s="6" t="s">
        <v>41</v>
      </c>
      <c r="C148" s="6" t="s">
        <v>19</v>
      </c>
      <c r="D148" s="15" t="n">
        <v>47</v>
      </c>
      <c r="E148" s="6" t="s">
        <v>58</v>
      </c>
      <c r="F148" s="16" t="str">
        <f aca="false">IF(OR(B148="Day",B148="Week"),"W"&amp;TEXT(WEEKNUM(A148,21),"00"),"")</f>
        <v>W16</v>
      </c>
      <c r="G148" s="16" t="str">
        <f aca="false">IF(OR(B148="Day",B148="Month"),TEXT(A148,"mmm yyyy"),"")</f>
        <v/>
      </c>
      <c r="H148" s="16" t="str">
        <f aca="false">IF(OR(B148="Day",B148="Month"),"Q"&amp;ROUNDUP(MONTH(A148)/3,0)&amp;" "&amp;YEAR(A148),"")</f>
        <v/>
      </c>
    </row>
    <row r="149" customFormat="false" ht="15" hidden="false" customHeight="true" outlineLevel="0" collapsed="false">
      <c r="A149" s="14" t="n">
        <v>46125</v>
      </c>
      <c r="B149" s="6" t="s">
        <v>41</v>
      </c>
      <c r="C149" s="6" t="s">
        <v>21</v>
      </c>
      <c r="D149" s="15" t="n">
        <v>195</v>
      </c>
      <c r="E149" s="6" t="s">
        <v>58</v>
      </c>
      <c r="F149" s="16" t="str">
        <f aca="false">IF(OR(B149="Day",B149="Week"),"W"&amp;TEXT(WEEKNUM(A149,21),"00"),"")</f>
        <v>W16</v>
      </c>
      <c r="G149" s="16" t="str">
        <f aca="false">IF(OR(B149="Day",B149="Month"),TEXT(A149,"mmm yyyy"),"")</f>
        <v/>
      </c>
      <c r="H149" s="16" t="str">
        <f aca="false">IF(OR(B149="Day",B149="Month"),"Q"&amp;ROUNDUP(MONTH(A149)/3,0)&amp;" "&amp;YEAR(A149),"")</f>
        <v/>
      </c>
    </row>
    <row r="150" customFormat="false" ht="15" hidden="false" customHeight="true" outlineLevel="0" collapsed="false">
      <c r="A150" s="14" t="n">
        <v>46125</v>
      </c>
      <c r="B150" s="6" t="s">
        <v>41</v>
      </c>
      <c r="C150" s="6" t="s">
        <v>23</v>
      </c>
      <c r="D150" s="15" t="n">
        <v>27.6</v>
      </c>
      <c r="E150" s="6" t="s">
        <v>58</v>
      </c>
      <c r="F150" s="16" t="str">
        <f aca="false">IF(OR(B150="Day",B150="Week"),"W"&amp;TEXT(WEEKNUM(A150,21),"00"),"")</f>
        <v>W16</v>
      </c>
      <c r="G150" s="16" t="str">
        <f aca="false">IF(OR(B150="Day",B150="Month"),TEXT(A150,"mmm yyyy"),"")</f>
        <v/>
      </c>
      <c r="H150" s="16" t="str">
        <f aca="false">IF(OR(B150="Day",B150="Month"),"Q"&amp;ROUNDUP(MONTH(A150)/3,0)&amp;" "&amp;YEAR(A150),"")</f>
        <v/>
      </c>
    </row>
    <row r="151" customFormat="false" ht="15" hidden="false" customHeight="true" outlineLevel="0" collapsed="false">
      <c r="A151" s="14" t="n">
        <v>46125</v>
      </c>
      <c r="B151" s="6" t="s">
        <v>41</v>
      </c>
      <c r="C151" s="6" t="s">
        <v>27</v>
      </c>
      <c r="D151" s="15" t="n">
        <v>5094000</v>
      </c>
      <c r="E151" s="6" t="s">
        <v>58</v>
      </c>
      <c r="F151" s="16" t="str">
        <f aca="false">IF(OR(B151="Day",B151="Week"),"W"&amp;TEXT(WEEKNUM(A151,21),"00"),"")</f>
        <v>W16</v>
      </c>
      <c r="G151" s="16" t="str">
        <f aca="false">IF(OR(B151="Day",B151="Month"),TEXT(A151,"mmm yyyy"),"")</f>
        <v/>
      </c>
      <c r="H151" s="16" t="str">
        <f aca="false">IF(OR(B151="Day",B151="Month"),"Q"&amp;ROUNDUP(MONTH(A151)/3,0)&amp;" "&amp;YEAR(A151),"")</f>
        <v/>
      </c>
    </row>
    <row r="152" customFormat="false" ht="15" hidden="false" customHeight="true" outlineLevel="0" collapsed="false">
      <c r="A152" s="14" t="n">
        <v>46132</v>
      </c>
      <c r="B152" s="6" t="s">
        <v>41</v>
      </c>
      <c r="C152" s="6" t="s">
        <v>11</v>
      </c>
      <c r="D152" s="15" t="n">
        <v>296</v>
      </c>
      <c r="E152" s="6" t="s">
        <v>59</v>
      </c>
      <c r="F152" s="16" t="str">
        <f aca="false">IF(OR(B152="Day",B152="Week"),"W"&amp;TEXT(WEEKNUM(A152,21),"00"),"")</f>
        <v>W17</v>
      </c>
      <c r="G152" s="16" t="str">
        <f aca="false">IF(OR(B152="Day",B152="Month"),TEXT(A152,"mmm yyyy"),"")</f>
        <v/>
      </c>
      <c r="H152" s="16" t="str">
        <f aca="false">IF(OR(B152="Day",B152="Month"),"Q"&amp;ROUNDUP(MONTH(A152)/3,0)&amp;" "&amp;YEAR(A152),"")</f>
        <v/>
      </c>
    </row>
    <row r="153" customFormat="false" ht="15" hidden="false" customHeight="true" outlineLevel="0" collapsed="false">
      <c r="A153" s="14" t="n">
        <v>46132</v>
      </c>
      <c r="B153" s="6" t="s">
        <v>41</v>
      </c>
      <c r="C153" s="6" t="s">
        <v>15</v>
      </c>
      <c r="D153" s="15" t="n">
        <v>280</v>
      </c>
      <c r="E153" s="6" t="s">
        <v>59</v>
      </c>
      <c r="F153" s="16" t="str">
        <f aca="false">IF(OR(B153="Day",B153="Week"),"W"&amp;TEXT(WEEKNUM(A153,21),"00"),"")</f>
        <v>W17</v>
      </c>
      <c r="G153" s="16" t="str">
        <f aca="false">IF(OR(B153="Day",B153="Month"),TEXT(A153,"mmm yyyy"),"")</f>
        <v/>
      </c>
      <c r="H153" s="16" t="str">
        <f aca="false">IF(OR(B153="Day",B153="Month"),"Q"&amp;ROUNDUP(MONTH(A153)/3,0)&amp;" "&amp;YEAR(A153),"")</f>
        <v/>
      </c>
    </row>
    <row r="154" customFormat="false" ht="15" hidden="false" customHeight="true" outlineLevel="0" collapsed="false">
      <c r="A154" s="14" t="n">
        <v>46132</v>
      </c>
      <c r="B154" s="6" t="s">
        <v>41</v>
      </c>
      <c r="C154" s="6" t="s">
        <v>19</v>
      </c>
      <c r="D154" s="15" t="n">
        <v>52</v>
      </c>
      <c r="E154" s="6" t="s">
        <v>59</v>
      </c>
      <c r="F154" s="16" t="str">
        <f aca="false">IF(OR(B154="Day",B154="Week"),"W"&amp;TEXT(WEEKNUM(A154,21),"00"),"")</f>
        <v>W17</v>
      </c>
      <c r="G154" s="16" t="str">
        <f aca="false">IF(OR(B154="Day",B154="Month"),TEXT(A154,"mmm yyyy"),"")</f>
        <v/>
      </c>
      <c r="H154" s="16" t="str">
        <f aca="false">IF(OR(B154="Day",B154="Month"),"Q"&amp;ROUNDUP(MONTH(A154)/3,0)&amp;" "&amp;YEAR(A154),"")</f>
        <v/>
      </c>
    </row>
    <row r="155" customFormat="false" ht="15" hidden="false" customHeight="true" outlineLevel="0" collapsed="false">
      <c r="A155" s="14" t="n">
        <v>46132</v>
      </c>
      <c r="B155" s="6" t="s">
        <v>41</v>
      </c>
      <c r="C155" s="6" t="s">
        <v>21</v>
      </c>
      <c r="D155" s="15" t="n">
        <v>152</v>
      </c>
      <c r="E155" s="6" t="s">
        <v>59</v>
      </c>
      <c r="F155" s="16" t="str">
        <f aca="false">IF(OR(B155="Day",B155="Week"),"W"&amp;TEXT(WEEKNUM(A155,21),"00"),"")</f>
        <v>W17</v>
      </c>
      <c r="G155" s="16" t="str">
        <f aca="false">IF(OR(B155="Day",B155="Month"),TEXT(A155,"mmm yyyy"),"")</f>
        <v/>
      </c>
      <c r="H155" s="16" t="str">
        <f aca="false">IF(OR(B155="Day",B155="Month"),"Q"&amp;ROUNDUP(MONTH(A155)/3,0)&amp;" "&amp;YEAR(A155),"")</f>
        <v/>
      </c>
    </row>
    <row r="156" customFormat="false" ht="15" hidden="false" customHeight="true" outlineLevel="0" collapsed="false">
      <c r="A156" s="14" t="n">
        <v>46132</v>
      </c>
      <c r="B156" s="6" t="s">
        <v>41</v>
      </c>
      <c r="C156" s="6" t="s">
        <v>23</v>
      </c>
      <c r="D156" s="15" t="n">
        <v>19</v>
      </c>
      <c r="E156" s="6" t="s">
        <v>59</v>
      </c>
      <c r="F156" s="16" t="str">
        <f aca="false">IF(OR(B156="Day",B156="Week"),"W"&amp;TEXT(WEEKNUM(A156,21),"00"),"")</f>
        <v>W17</v>
      </c>
      <c r="G156" s="16" t="str">
        <f aca="false">IF(OR(B156="Day",B156="Month"),TEXT(A156,"mmm yyyy"),"")</f>
        <v/>
      </c>
      <c r="H156" s="16" t="str">
        <f aca="false">IF(OR(B156="Day",B156="Month"),"Q"&amp;ROUNDUP(MONTH(A156)/3,0)&amp;" "&amp;YEAR(A156),"")</f>
        <v/>
      </c>
    </row>
    <row r="157" customFormat="false" ht="15" hidden="false" customHeight="true" outlineLevel="0" collapsed="false">
      <c r="A157" s="14" t="n">
        <v>46132</v>
      </c>
      <c r="B157" s="6" t="s">
        <v>41</v>
      </c>
      <c r="C157" s="6" t="s">
        <v>27</v>
      </c>
      <c r="D157" s="15" t="n">
        <v>5246000</v>
      </c>
      <c r="E157" s="6" t="s">
        <v>59</v>
      </c>
      <c r="F157" s="16" t="str">
        <f aca="false">IF(OR(B157="Day",B157="Week"),"W"&amp;TEXT(WEEKNUM(A157,21),"00"),"")</f>
        <v>W17</v>
      </c>
      <c r="G157" s="16" t="str">
        <f aca="false">IF(OR(B157="Day",B157="Month"),TEXT(A157,"mmm yyyy"),"")</f>
        <v/>
      </c>
      <c r="H157" s="16" t="str">
        <f aca="false">IF(OR(B157="Day",B157="Month"),"Q"&amp;ROUNDUP(MONTH(A157)/3,0)&amp;" "&amp;YEAR(A157),"")</f>
        <v/>
      </c>
    </row>
    <row r="158" customFormat="false" ht="15" hidden="false" customHeight="true" outlineLevel="0" collapsed="false">
      <c r="A158" s="14" t="n">
        <v>46139</v>
      </c>
      <c r="B158" s="6" t="s">
        <v>41</v>
      </c>
      <c r="C158" s="6" t="s">
        <v>11</v>
      </c>
      <c r="D158" s="15" t="n">
        <v>316</v>
      </c>
      <c r="E158" s="6" t="s">
        <v>60</v>
      </c>
      <c r="F158" s="16" t="str">
        <f aca="false">IF(OR(B158="Day",B158="Week"),"W"&amp;TEXT(WEEKNUM(A158,21),"00"),"")</f>
        <v>W18</v>
      </c>
      <c r="G158" s="16" t="str">
        <f aca="false">IF(OR(B158="Day",B158="Month"),TEXT(A158,"mmm yyyy"),"")</f>
        <v/>
      </c>
      <c r="H158" s="16" t="str">
        <f aca="false">IF(OR(B158="Day",B158="Month"),"Q"&amp;ROUNDUP(MONTH(A158)/3,0)&amp;" "&amp;YEAR(A158),"")</f>
        <v/>
      </c>
    </row>
    <row r="159" customFormat="false" ht="15" hidden="false" customHeight="true" outlineLevel="0" collapsed="false">
      <c r="A159" s="14" t="n">
        <v>46139</v>
      </c>
      <c r="B159" s="6" t="s">
        <v>41</v>
      </c>
      <c r="C159" s="6" t="s">
        <v>15</v>
      </c>
      <c r="D159" s="15" t="n">
        <v>299</v>
      </c>
      <c r="E159" s="6" t="s">
        <v>60</v>
      </c>
      <c r="F159" s="16" t="str">
        <f aca="false">IF(OR(B159="Day",B159="Week"),"W"&amp;TEXT(WEEKNUM(A159,21),"00"),"")</f>
        <v>W18</v>
      </c>
      <c r="G159" s="16" t="str">
        <f aca="false">IF(OR(B159="Day",B159="Month"),TEXT(A159,"mmm yyyy"),"")</f>
        <v/>
      </c>
      <c r="H159" s="16" t="str">
        <f aca="false">IF(OR(B159="Day",B159="Month"),"Q"&amp;ROUNDUP(MONTH(A159)/3,0)&amp;" "&amp;YEAR(A159),"")</f>
        <v/>
      </c>
    </row>
    <row r="160" customFormat="false" ht="15" hidden="false" customHeight="true" outlineLevel="0" collapsed="false">
      <c r="A160" s="14" t="n">
        <v>46139</v>
      </c>
      <c r="B160" s="6" t="s">
        <v>41</v>
      </c>
      <c r="C160" s="6" t="s">
        <v>19</v>
      </c>
      <c r="D160" s="15" t="n">
        <v>57</v>
      </c>
      <c r="E160" s="6" t="s">
        <v>60</v>
      </c>
      <c r="F160" s="16" t="str">
        <f aca="false">IF(OR(B160="Day",B160="Week"),"W"&amp;TEXT(WEEKNUM(A160,21),"00"),"")</f>
        <v>W18</v>
      </c>
      <c r="G160" s="16" t="str">
        <f aca="false">IF(OR(B160="Day",B160="Month"),TEXT(A160,"mmm yyyy"),"")</f>
        <v/>
      </c>
      <c r="H160" s="16" t="str">
        <f aca="false">IF(OR(B160="Day",B160="Month"),"Q"&amp;ROUNDUP(MONTH(A160)/3,0)&amp;" "&amp;YEAR(A160),"")</f>
        <v/>
      </c>
    </row>
    <row r="161" customFormat="false" ht="15" hidden="false" customHeight="true" outlineLevel="0" collapsed="false">
      <c r="A161" s="14" t="n">
        <v>46139</v>
      </c>
      <c r="B161" s="6" t="s">
        <v>41</v>
      </c>
      <c r="C161" s="6" t="s">
        <v>21</v>
      </c>
      <c r="D161" s="15" t="n">
        <v>182</v>
      </c>
      <c r="E161" s="6" t="s">
        <v>60</v>
      </c>
      <c r="F161" s="16" t="str">
        <f aca="false">IF(OR(B161="Day",B161="Week"),"W"&amp;TEXT(WEEKNUM(A161,21),"00"),"")</f>
        <v>W18</v>
      </c>
      <c r="G161" s="16" t="str">
        <f aca="false">IF(OR(B161="Day",B161="Month"),TEXT(A161,"mmm yyyy"),"")</f>
        <v/>
      </c>
      <c r="H161" s="16" t="str">
        <f aca="false">IF(OR(B161="Day",B161="Month"),"Q"&amp;ROUNDUP(MONTH(A161)/3,0)&amp;" "&amp;YEAR(A161),"")</f>
        <v/>
      </c>
    </row>
    <row r="162" customFormat="false" ht="15" hidden="false" customHeight="true" outlineLevel="0" collapsed="false">
      <c r="A162" s="14" t="n">
        <v>46139</v>
      </c>
      <c r="B162" s="6" t="s">
        <v>41</v>
      </c>
      <c r="C162" s="6" t="s">
        <v>23</v>
      </c>
      <c r="D162" s="15" t="n">
        <v>23.1</v>
      </c>
      <c r="E162" s="6" t="s">
        <v>60</v>
      </c>
      <c r="F162" s="16" t="str">
        <f aca="false">IF(OR(B162="Day",B162="Week"),"W"&amp;TEXT(WEEKNUM(A162,21),"00"),"")</f>
        <v>W18</v>
      </c>
      <c r="G162" s="16" t="str">
        <f aca="false">IF(OR(B162="Day",B162="Month"),TEXT(A162,"mmm yyyy"),"")</f>
        <v/>
      </c>
      <c r="H162" s="16" t="str">
        <f aca="false">IF(OR(B162="Day",B162="Month"),"Q"&amp;ROUNDUP(MONTH(A162)/3,0)&amp;" "&amp;YEAR(A162),"")</f>
        <v/>
      </c>
    </row>
    <row r="163" customFormat="false" ht="15" hidden="false" customHeight="true" outlineLevel="0" collapsed="false">
      <c r="A163" s="14" t="n">
        <v>46139</v>
      </c>
      <c r="B163" s="6" t="s">
        <v>41</v>
      </c>
      <c r="C163" s="6" t="s">
        <v>27</v>
      </c>
      <c r="D163" s="15" t="n">
        <v>5138000</v>
      </c>
      <c r="E163" s="6" t="s">
        <v>60</v>
      </c>
      <c r="F163" s="16" t="str">
        <f aca="false">IF(OR(B163="Day",B163="Week"),"W"&amp;TEXT(WEEKNUM(A163,21),"00"),"")</f>
        <v>W18</v>
      </c>
      <c r="G163" s="16" t="str">
        <f aca="false">IF(OR(B163="Day",B163="Month"),TEXT(A163,"mmm yyyy"),"")</f>
        <v/>
      </c>
      <c r="H163" s="16" t="str">
        <f aca="false">IF(OR(B163="Day",B163="Month"),"Q"&amp;ROUNDUP(MONTH(A163)/3,0)&amp;" "&amp;YEAR(A163),"")</f>
        <v/>
      </c>
    </row>
    <row r="164" customFormat="false" ht="15" hidden="false" customHeight="true" outlineLevel="0" collapsed="false">
      <c r="A164" s="14" t="n">
        <v>46146</v>
      </c>
      <c r="B164" s="6" t="s">
        <v>41</v>
      </c>
      <c r="C164" s="6" t="s">
        <v>11</v>
      </c>
      <c r="D164" s="15" t="n">
        <v>320</v>
      </c>
      <c r="E164" s="6" t="s">
        <v>61</v>
      </c>
      <c r="F164" s="16" t="str">
        <f aca="false">IF(OR(B164="Day",B164="Week"),"W"&amp;TEXT(WEEKNUM(A164,21),"00"),"")</f>
        <v>W19</v>
      </c>
      <c r="G164" s="16" t="str">
        <f aca="false">IF(OR(B164="Day",B164="Month"),TEXT(A164,"mmm yyyy"),"")</f>
        <v/>
      </c>
      <c r="H164" s="16" t="str">
        <f aca="false">IF(OR(B164="Day",B164="Month"),"Q"&amp;ROUNDUP(MONTH(A164)/3,0)&amp;" "&amp;YEAR(A164),"")</f>
        <v/>
      </c>
    </row>
    <row r="165" customFormat="false" ht="15" hidden="false" customHeight="true" outlineLevel="0" collapsed="false">
      <c r="A165" s="14" t="n">
        <v>46146</v>
      </c>
      <c r="B165" s="6" t="s">
        <v>41</v>
      </c>
      <c r="C165" s="6" t="s">
        <v>15</v>
      </c>
      <c r="D165" s="15" t="n">
        <v>301</v>
      </c>
      <c r="E165" s="6" t="s">
        <v>61</v>
      </c>
      <c r="F165" s="16" t="str">
        <f aca="false">IF(OR(B165="Day",B165="Week"),"W"&amp;TEXT(WEEKNUM(A165,21),"00"),"")</f>
        <v>W19</v>
      </c>
      <c r="G165" s="16" t="str">
        <f aca="false">IF(OR(B165="Day",B165="Month"),TEXT(A165,"mmm yyyy"),"")</f>
        <v/>
      </c>
      <c r="H165" s="16" t="str">
        <f aca="false">IF(OR(B165="Day",B165="Month"),"Q"&amp;ROUNDUP(MONTH(A165)/3,0)&amp;" "&amp;YEAR(A165),"")</f>
        <v/>
      </c>
    </row>
    <row r="166" customFormat="false" ht="15" hidden="false" customHeight="true" outlineLevel="0" collapsed="false">
      <c r="A166" s="14" t="n">
        <v>46146</v>
      </c>
      <c r="B166" s="6" t="s">
        <v>41</v>
      </c>
      <c r="C166" s="6" t="s">
        <v>19</v>
      </c>
      <c r="D166" s="15" t="n">
        <v>57</v>
      </c>
      <c r="E166" s="6" t="s">
        <v>61</v>
      </c>
      <c r="F166" s="16" t="str">
        <f aca="false">IF(OR(B166="Day",B166="Week"),"W"&amp;TEXT(WEEKNUM(A166,21),"00"),"")</f>
        <v>W19</v>
      </c>
      <c r="G166" s="16" t="str">
        <f aca="false">IF(OR(B166="Day",B166="Month"),TEXT(A166,"mmm yyyy"),"")</f>
        <v/>
      </c>
      <c r="H166" s="16" t="str">
        <f aca="false">IF(OR(B166="Day",B166="Month"),"Q"&amp;ROUNDUP(MONTH(A166)/3,0)&amp;" "&amp;YEAR(A166),"")</f>
        <v/>
      </c>
    </row>
    <row r="167" customFormat="false" ht="15" hidden="false" customHeight="true" outlineLevel="0" collapsed="false">
      <c r="A167" s="14" t="n">
        <v>46146</v>
      </c>
      <c r="B167" s="6" t="s">
        <v>41</v>
      </c>
      <c r="C167" s="6" t="s">
        <v>21</v>
      </c>
      <c r="D167" s="15" t="n">
        <v>177</v>
      </c>
      <c r="E167" s="6" t="s">
        <v>61</v>
      </c>
      <c r="F167" s="16" t="str">
        <f aca="false">IF(OR(B167="Day",B167="Week"),"W"&amp;TEXT(WEEKNUM(A167,21),"00"),"")</f>
        <v>W19</v>
      </c>
      <c r="G167" s="16" t="str">
        <f aca="false">IF(OR(B167="Day",B167="Month"),TEXT(A167,"mmm yyyy"),"")</f>
        <v/>
      </c>
      <c r="H167" s="16" t="str">
        <f aca="false">IF(OR(B167="Day",B167="Month"),"Q"&amp;ROUNDUP(MONTH(A167)/3,0)&amp;" "&amp;YEAR(A167),"")</f>
        <v/>
      </c>
    </row>
    <row r="168" customFormat="false" ht="15" hidden="false" customHeight="true" outlineLevel="0" collapsed="false">
      <c r="A168" s="14" t="n">
        <v>46146</v>
      </c>
      <c r="B168" s="6" t="s">
        <v>41</v>
      </c>
      <c r="C168" s="6" t="s">
        <v>23</v>
      </c>
      <c r="D168" s="15" t="n">
        <v>25.1</v>
      </c>
      <c r="E168" s="6" t="s">
        <v>61</v>
      </c>
      <c r="F168" s="16" t="str">
        <f aca="false">IF(OR(B168="Day",B168="Week"),"W"&amp;TEXT(WEEKNUM(A168,21),"00"),"")</f>
        <v>W19</v>
      </c>
      <c r="G168" s="16" t="str">
        <f aca="false">IF(OR(B168="Day",B168="Month"),TEXT(A168,"mmm yyyy"),"")</f>
        <v/>
      </c>
      <c r="H168" s="16" t="str">
        <f aca="false">IF(OR(B168="Day",B168="Month"),"Q"&amp;ROUNDUP(MONTH(A168)/3,0)&amp;" "&amp;YEAR(A168),"")</f>
        <v/>
      </c>
    </row>
    <row r="169" customFormat="false" ht="15" hidden="false" customHeight="true" outlineLevel="0" collapsed="false">
      <c r="A169" s="14" t="n">
        <v>46146</v>
      </c>
      <c r="B169" s="6" t="s">
        <v>41</v>
      </c>
      <c r="C169" s="6" t="s">
        <v>27</v>
      </c>
      <c r="D169" s="15" t="n">
        <v>5240000</v>
      </c>
      <c r="E169" s="6" t="s">
        <v>61</v>
      </c>
      <c r="F169" s="16" t="str">
        <f aca="false">IF(OR(B169="Day",B169="Week"),"W"&amp;TEXT(WEEKNUM(A169,21),"00"),"")</f>
        <v>W19</v>
      </c>
      <c r="G169" s="16" t="str">
        <f aca="false">IF(OR(B169="Day",B169="Month"),TEXT(A169,"mmm yyyy"),"")</f>
        <v/>
      </c>
      <c r="H169" s="16" t="str">
        <f aca="false">IF(OR(B169="Day",B169="Month"),"Q"&amp;ROUNDUP(MONTH(A169)/3,0)&amp;" "&amp;YEAR(A169),"")</f>
        <v/>
      </c>
    </row>
    <row r="170" customFormat="false" ht="15" hidden="false" customHeight="true" outlineLevel="0" collapsed="false">
      <c r="A170" s="14" t="n">
        <v>46153</v>
      </c>
      <c r="B170" s="6" t="s">
        <v>41</v>
      </c>
      <c r="C170" s="6" t="s">
        <v>11</v>
      </c>
      <c r="D170" s="15" t="n">
        <v>305</v>
      </c>
      <c r="E170" s="6" t="s">
        <v>62</v>
      </c>
      <c r="F170" s="16" t="str">
        <f aca="false">IF(OR(B170="Day",B170="Week"),"W"&amp;TEXT(WEEKNUM(A170,21),"00"),"")</f>
        <v>W20</v>
      </c>
      <c r="G170" s="16" t="str">
        <f aca="false">IF(OR(B170="Day",B170="Month"),TEXT(A170,"mmm yyyy"),"")</f>
        <v/>
      </c>
      <c r="H170" s="16" t="str">
        <f aca="false">IF(OR(B170="Day",B170="Month"),"Q"&amp;ROUNDUP(MONTH(A170)/3,0)&amp;" "&amp;YEAR(A170),"")</f>
        <v/>
      </c>
    </row>
    <row r="171" customFormat="false" ht="15" hidden="false" customHeight="true" outlineLevel="0" collapsed="false">
      <c r="A171" s="14" t="n">
        <v>46153</v>
      </c>
      <c r="B171" s="6" t="s">
        <v>41</v>
      </c>
      <c r="C171" s="6" t="s">
        <v>15</v>
      </c>
      <c r="D171" s="15" t="n">
        <v>290</v>
      </c>
      <c r="E171" s="6" t="s">
        <v>62</v>
      </c>
      <c r="F171" s="16" t="str">
        <f aca="false">IF(OR(B171="Day",B171="Week"),"W"&amp;TEXT(WEEKNUM(A171,21),"00"),"")</f>
        <v>W20</v>
      </c>
      <c r="G171" s="16" t="str">
        <f aca="false">IF(OR(B171="Day",B171="Month"),TEXT(A171,"mmm yyyy"),"")</f>
        <v/>
      </c>
      <c r="H171" s="16" t="str">
        <f aca="false">IF(OR(B171="Day",B171="Month"),"Q"&amp;ROUNDUP(MONTH(A171)/3,0)&amp;" "&amp;YEAR(A171),"")</f>
        <v/>
      </c>
    </row>
    <row r="172" customFormat="false" ht="15" hidden="false" customHeight="true" outlineLevel="0" collapsed="false">
      <c r="A172" s="14" t="n">
        <v>46153</v>
      </c>
      <c r="B172" s="6" t="s">
        <v>41</v>
      </c>
      <c r="C172" s="6" t="s">
        <v>19</v>
      </c>
      <c r="D172" s="15" t="n">
        <v>48</v>
      </c>
      <c r="E172" s="6" t="s">
        <v>62</v>
      </c>
      <c r="F172" s="16" t="str">
        <f aca="false">IF(OR(B172="Day",B172="Week"),"W"&amp;TEXT(WEEKNUM(A172,21),"00"),"")</f>
        <v>W20</v>
      </c>
      <c r="G172" s="16" t="str">
        <f aca="false">IF(OR(B172="Day",B172="Month"),TEXT(A172,"mmm yyyy"),"")</f>
        <v/>
      </c>
      <c r="H172" s="16" t="str">
        <f aca="false">IF(OR(B172="Day",B172="Month"),"Q"&amp;ROUNDUP(MONTH(A172)/3,0)&amp;" "&amp;YEAR(A172),"")</f>
        <v/>
      </c>
    </row>
    <row r="173" customFormat="false" ht="15" hidden="false" customHeight="true" outlineLevel="0" collapsed="false">
      <c r="A173" s="14" t="n">
        <v>46153</v>
      </c>
      <c r="B173" s="6" t="s">
        <v>41</v>
      </c>
      <c r="C173" s="6" t="s">
        <v>21</v>
      </c>
      <c r="D173" s="15" t="n">
        <v>196</v>
      </c>
      <c r="E173" s="6" t="s">
        <v>62</v>
      </c>
      <c r="F173" s="16" t="str">
        <f aca="false">IF(OR(B173="Day",B173="Week"),"W"&amp;TEXT(WEEKNUM(A173,21),"00"),"")</f>
        <v>W20</v>
      </c>
      <c r="G173" s="16" t="str">
        <f aca="false">IF(OR(B173="Day",B173="Month"),TEXT(A173,"mmm yyyy"),"")</f>
        <v/>
      </c>
      <c r="H173" s="16" t="str">
        <f aca="false">IF(OR(B173="Day",B173="Month"),"Q"&amp;ROUNDUP(MONTH(A173)/3,0)&amp;" "&amp;YEAR(A173),"")</f>
        <v/>
      </c>
    </row>
    <row r="174" customFormat="false" ht="15" hidden="false" customHeight="true" outlineLevel="0" collapsed="false">
      <c r="A174" s="14" t="n">
        <v>46153</v>
      </c>
      <c r="B174" s="6" t="s">
        <v>41</v>
      </c>
      <c r="C174" s="6" t="s">
        <v>23</v>
      </c>
      <c r="D174" s="15" t="n">
        <v>21.7</v>
      </c>
      <c r="E174" s="6" t="s">
        <v>62</v>
      </c>
      <c r="F174" s="16" t="str">
        <f aca="false">IF(OR(B174="Day",B174="Week"),"W"&amp;TEXT(WEEKNUM(A174,21),"00"),"")</f>
        <v>W20</v>
      </c>
      <c r="G174" s="16" t="str">
        <f aca="false">IF(OR(B174="Day",B174="Month"),TEXT(A174,"mmm yyyy"),"")</f>
        <v/>
      </c>
      <c r="H174" s="16" t="str">
        <f aca="false">IF(OR(B174="Day",B174="Month"),"Q"&amp;ROUNDUP(MONTH(A174)/3,0)&amp;" "&amp;YEAR(A174),"")</f>
        <v/>
      </c>
    </row>
    <row r="175" customFormat="false" ht="15" hidden="false" customHeight="true" outlineLevel="0" collapsed="false">
      <c r="A175" s="14" t="n">
        <v>46153</v>
      </c>
      <c r="B175" s="6" t="s">
        <v>41</v>
      </c>
      <c r="C175" s="6" t="s">
        <v>27</v>
      </c>
      <c r="D175" s="15" t="n">
        <v>5111000</v>
      </c>
      <c r="E175" s="6" t="s">
        <v>62</v>
      </c>
      <c r="F175" s="16" t="str">
        <f aca="false">IF(OR(B175="Day",B175="Week"),"W"&amp;TEXT(WEEKNUM(A175,21),"00"),"")</f>
        <v>W20</v>
      </c>
      <c r="G175" s="16" t="str">
        <f aca="false">IF(OR(B175="Day",B175="Month"),TEXT(A175,"mmm yyyy"),"")</f>
        <v/>
      </c>
      <c r="H175" s="16" t="str">
        <f aca="false">IF(OR(B175="Day",B175="Month"),"Q"&amp;ROUNDUP(MONTH(A175)/3,0)&amp;" "&amp;YEAR(A175),"")</f>
        <v/>
      </c>
    </row>
    <row r="176" customFormat="false" ht="15" hidden="false" customHeight="true" outlineLevel="0" collapsed="false">
      <c r="A176" s="14" t="n">
        <v>46160</v>
      </c>
      <c r="B176" s="6" t="s">
        <v>41</v>
      </c>
      <c r="C176" s="6" t="s">
        <v>11</v>
      </c>
      <c r="D176" s="15" t="n">
        <v>313</v>
      </c>
      <c r="E176" s="6" t="s">
        <v>63</v>
      </c>
      <c r="F176" s="16" t="str">
        <f aca="false">IF(OR(B176="Day",B176="Week"),"W"&amp;TEXT(WEEKNUM(A176,21),"00"),"")</f>
        <v>W21</v>
      </c>
      <c r="G176" s="16" t="str">
        <f aca="false">IF(OR(B176="Day",B176="Month"),TEXT(A176,"mmm yyyy"),"")</f>
        <v/>
      </c>
      <c r="H176" s="16" t="str">
        <f aca="false">IF(OR(B176="Day",B176="Month"),"Q"&amp;ROUNDUP(MONTH(A176)/3,0)&amp;" "&amp;YEAR(A176),"")</f>
        <v/>
      </c>
    </row>
    <row r="177" customFormat="false" ht="15" hidden="false" customHeight="true" outlineLevel="0" collapsed="false">
      <c r="A177" s="14" t="n">
        <v>46160</v>
      </c>
      <c r="B177" s="6" t="s">
        <v>41</v>
      </c>
      <c r="C177" s="6" t="s">
        <v>15</v>
      </c>
      <c r="D177" s="15" t="n">
        <v>300</v>
      </c>
      <c r="E177" s="6" t="s">
        <v>63</v>
      </c>
      <c r="F177" s="16" t="str">
        <f aca="false">IF(OR(B177="Day",B177="Week"),"W"&amp;TEXT(WEEKNUM(A177,21),"00"),"")</f>
        <v>W21</v>
      </c>
      <c r="G177" s="16" t="str">
        <f aca="false">IF(OR(B177="Day",B177="Month"),TEXT(A177,"mmm yyyy"),"")</f>
        <v/>
      </c>
      <c r="H177" s="16" t="str">
        <f aca="false">IF(OR(B177="Day",B177="Month"),"Q"&amp;ROUNDUP(MONTH(A177)/3,0)&amp;" "&amp;YEAR(A177),"")</f>
        <v/>
      </c>
    </row>
    <row r="178" customFormat="false" ht="15" hidden="false" customHeight="true" outlineLevel="0" collapsed="false">
      <c r="A178" s="14" t="n">
        <v>46160</v>
      </c>
      <c r="B178" s="6" t="s">
        <v>41</v>
      </c>
      <c r="C178" s="6" t="s">
        <v>19</v>
      </c>
      <c r="D178" s="15" t="n">
        <v>53</v>
      </c>
      <c r="E178" s="6" t="s">
        <v>63</v>
      </c>
      <c r="F178" s="16" t="str">
        <f aca="false">IF(OR(B178="Day",B178="Week"),"W"&amp;TEXT(WEEKNUM(A178,21),"00"),"")</f>
        <v>W21</v>
      </c>
      <c r="G178" s="16" t="str">
        <f aca="false">IF(OR(B178="Day",B178="Month"),TEXT(A178,"mmm yyyy"),"")</f>
        <v/>
      </c>
      <c r="H178" s="16" t="str">
        <f aca="false">IF(OR(B178="Day",B178="Month"),"Q"&amp;ROUNDUP(MONTH(A178)/3,0)&amp;" "&amp;YEAR(A178),"")</f>
        <v/>
      </c>
    </row>
    <row r="179" customFormat="false" ht="15" hidden="false" customHeight="true" outlineLevel="0" collapsed="false">
      <c r="A179" s="14" t="n">
        <v>46160</v>
      </c>
      <c r="B179" s="6" t="s">
        <v>41</v>
      </c>
      <c r="C179" s="6" t="s">
        <v>21</v>
      </c>
      <c r="D179" s="15" t="n">
        <v>190</v>
      </c>
      <c r="E179" s="6" t="s">
        <v>63</v>
      </c>
      <c r="F179" s="16" t="str">
        <f aca="false">IF(OR(B179="Day",B179="Week"),"W"&amp;TEXT(WEEKNUM(A179,21),"00"),"")</f>
        <v>W21</v>
      </c>
      <c r="G179" s="16" t="str">
        <f aca="false">IF(OR(B179="Day",B179="Month"),TEXT(A179,"mmm yyyy"),"")</f>
        <v/>
      </c>
      <c r="H179" s="16" t="str">
        <f aca="false">IF(OR(B179="Day",B179="Month"),"Q"&amp;ROUNDUP(MONTH(A179)/3,0)&amp;" "&amp;YEAR(A179),"")</f>
        <v/>
      </c>
    </row>
    <row r="180" customFormat="false" ht="15" hidden="false" customHeight="true" outlineLevel="0" collapsed="false">
      <c r="A180" s="14" t="n">
        <v>46160</v>
      </c>
      <c r="B180" s="6" t="s">
        <v>41</v>
      </c>
      <c r="C180" s="6" t="s">
        <v>23</v>
      </c>
      <c r="D180" s="15" t="n">
        <v>26.3</v>
      </c>
      <c r="E180" s="6" t="s">
        <v>63</v>
      </c>
      <c r="F180" s="16" t="str">
        <f aca="false">IF(OR(B180="Day",B180="Week"),"W"&amp;TEXT(WEEKNUM(A180,21),"00"),"")</f>
        <v>W21</v>
      </c>
      <c r="G180" s="16" t="str">
        <f aca="false">IF(OR(B180="Day",B180="Month"),TEXT(A180,"mmm yyyy"),"")</f>
        <v/>
      </c>
      <c r="H180" s="16" t="str">
        <f aca="false">IF(OR(B180="Day",B180="Month"),"Q"&amp;ROUNDUP(MONTH(A180)/3,0)&amp;" "&amp;YEAR(A180),"")</f>
        <v/>
      </c>
    </row>
    <row r="181" customFormat="false" ht="15" hidden="false" customHeight="true" outlineLevel="0" collapsed="false">
      <c r="A181" s="14" t="n">
        <v>46160</v>
      </c>
      <c r="B181" s="6" t="s">
        <v>41</v>
      </c>
      <c r="C181" s="6" t="s">
        <v>27</v>
      </c>
      <c r="D181" s="15" t="n">
        <v>5044000</v>
      </c>
      <c r="E181" s="6" t="s">
        <v>63</v>
      </c>
      <c r="F181" s="16" t="str">
        <f aca="false">IF(OR(B181="Day",B181="Week"),"W"&amp;TEXT(WEEKNUM(A181,21),"00"),"")</f>
        <v>W21</v>
      </c>
      <c r="G181" s="16" t="str">
        <f aca="false">IF(OR(B181="Day",B181="Month"),TEXT(A181,"mmm yyyy"),"")</f>
        <v/>
      </c>
      <c r="H181" s="16" t="str">
        <f aca="false">IF(OR(B181="Day",B181="Month"),"Q"&amp;ROUNDUP(MONTH(A181)/3,0)&amp;" "&amp;YEAR(A181),"")</f>
        <v/>
      </c>
    </row>
    <row r="182" customFormat="false" ht="15" hidden="false" customHeight="true" outlineLevel="0" collapsed="false">
      <c r="A182" s="14" t="n">
        <v>46167</v>
      </c>
      <c r="B182" s="6" t="s">
        <v>41</v>
      </c>
      <c r="C182" s="6" t="s">
        <v>11</v>
      </c>
      <c r="D182" s="15" t="n">
        <v>288</v>
      </c>
      <c r="E182" s="6" t="s">
        <v>64</v>
      </c>
      <c r="F182" s="16" t="str">
        <f aca="false">IF(OR(B182="Day",B182="Week"),"W"&amp;TEXT(WEEKNUM(A182,21),"00"),"")</f>
        <v>W22</v>
      </c>
      <c r="G182" s="16" t="str">
        <f aca="false">IF(OR(B182="Day",B182="Month"),TEXT(A182,"mmm yyyy"),"")</f>
        <v/>
      </c>
      <c r="H182" s="16" t="str">
        <f aca="false">IF(OR(B182="Day",B182="Month"),"Q"&amp;ROUNDUP(MONTH(A182)/3,0)&amp;" "&amp;YEAR(A182),"")</f>
        <v/>
      </c>
    </row>
    <row r="183" customFormat="false" ht="15" hidden="false" customHeight="true" outlineLevel="0" collapsed="false">
      <c r="A183" s="14" t="n">
        <v>46167</v>
      </c>
      <c r="B183" s="6" t="s">
        <v>41</v>
      </c>
      <c r="C183" s="6" t="s">
        <v>15</v>
      </c>
      <c r="D183" s="15" t="n">
        <v>273</v>
      </c>
      <c r="E183" s="6" t="s">
        <v>64</v>
      </c>
      <c r="F183" s="16" t="str">
        <f aca="false">IF(OR(B183="Day",B183="Week"),"W"&amp;TEXT(WEEKNUM(A183,21),"00"),"")</f>
        <v>W22</v>
      </c>
      <c r="G183" s="16" t="str">
        <f aca="false">IF(OR(B183="Day",B183="Month"),TEXT(A183,"mmm yyyy"),"")</f>
        <v/>
      </c>
      <c r="H183" s="16" t="str">
        <f aca="false">IF(OR(B183="Day",B183="Month"),"Q"&amp;ROUNDUP(MONTH(A183)/3,0)&amp;" "&amp;YEAR(A183),"")</f>
        <v/>
      </c>
    </row>
    <row r="184" customFormat="false" ht="15" hidden="false" customHeight="true" outlineLevel="0" collapsed="false">
      <c r="A184" s="14" t="n">
        <v>46167</v>
      </c>
      <c r="B184" s="6" t="s">
        <v>41</v>
      </c>
      <c r="C184" s="6" t="s">
        <v>19</v>
      </c>
      <c r="D184" s="15" t="n">
        <v>47</v>
      </c>
      <c r="E184" s="6" t="s">
        <v>64</v>
      </c>
      <c r="F184" s="16" t="str">
        <f aca="false">IF(OR(B184="Day",B184="Week"),"W"&amp;TEXT(WEEKNUM(A184,21),"00"),"")</f>
        <v>W22</v>
      </c>
      <c r="G184" s="16" t="str">
        <f aca="false">IF(OR(B184="Day",B184="Month"),TEXT(A184,"mmm yyyy"),"")</f>
        <v/>
      </c>
      <c r="H184" s="16" t="str">
        <f aca="false">IF(OR(B184="Day",B184="Month"),"Q"&amp;ROUNDUP(MONTH(A184)/3,0)&amp;" "&amp;YEAR(A184),"")</f>
        <v/>
      </c>
    </row>
    <row r="185" customFormat="false" ht="15" hidden="false" customHeight="true" outlineLevel="0" collapsed="false">
      <c r="A185" s="14" t="n">
        <v>46167</v>
      </c>
      <c r="B185" s="6" t="s">
        <v>41</v>
      </c>
      <c r="C185" s="6" t="s">
        <v>21</v>
      </c>
      <c r="D185" s="15" t="n">
        <v>180</v>
      </c>
      <c r="E185" s="6" t="s">
        <v>64</v>
      </c>
      <c r="F185" s="16" t="str">
        <f aca="false">IF(OR(B185="Day",B185="Week"),"W"&amp;TEXT(WEEKNUM(A185,21),"00"),"")</f>
        <v>W22</v>
      </c>
      <c r="G185" s="16" t="str">
        <f aca="false">IF(OR(B185="Day",B185="Month"),TEXT(A185,"mmm yyyy"),"")</f>
        <v/>
      </c>
      <c r="H185" s="16" t="str">
        <f aca="false">IF(OR(B185="Day",B185="Month"),"Q"&amp;ROUNDUP(MONTH(A185)/3,0)&amp;" "&amp;YEAR(A185),"")</f>
        <v/>
      </c>
    </row>
    <row r="186" customFormat="false" ht="15" hidden="false" customHeight="true" outlineLevel="0" collapsed="false">
      <c r="A186" s="14" t="n">
        <v>46167</v>
      </c>
      <c r="B186" s="6" t="s">
        <v>41</v>
      </c>
      <c r="C186" s="6" t="s">
        <v>23</v>
      </c>
      <c r="D186" s="15" t="n">
        <v>19.2</v>
      </c>
      <c r="E186" s="6" t="s">
        <v>64</v>
      </c>
      <c r="F186" s="16" t="str">
        <f aca="false">IF(OR(B186="Day",B186="Week"),"W"&amp;TEXT(WEEKNUM(A186,21),"00"),"")</f>
        <v>W22</v>
      </c>
      <c r="G186" s="16" t="str">
        <f aca="false">IF(OR(B186="Day",B186="Month"),TEXT(A186,"mmm yyyy"),"")</f>
        <v/>
      </c>
      <c r="H186" s="16" t="str">
        <f aca="false">IF(OR(B186="Day",B186="Month"),"Q"&amp;ROUNDUP(MONTH(A186)/3,0)&amp;" "&amp;YEAR(A186),"")</f>
        <v/>
      </c>
    </row>
    <row r="187" customFormat="false" ht="15" hidden="false" customHeight="true" outlineLevel="0" collapsed="false">
      <c r="A187" s="14" t="n">
        <v>46167</v>
      </c>
      <c r="B187" s="6" t="s">
        <v>41</v>
      </c>
      <c r="C187" s="6" t="s">
        <v>27</v>
      </c>
      <c r="D187" s="15" t="n">
        <v>5084000</v>
      </c>
      <c r="E187" s="6" t="s">
        <v>64</v>
      </c>
      <c r="F187" s="16" t="str">
        <f aca="false">IF(OR(B187="Day",B187="Week"),"W"&amp;TEXT(WEEKNUM(A187,21),"00"),"")</f>
        <v>W22</v>
      </c>
      <c r="G187" s="16" t="str">
        <f aca="false">IF(OR(B187="Day",B187="Month"),TEXT(A187,"mmm yyyy"),"")</f>
        <v/>
      </c>
      <c r="H187" s="16" t="str">
        <f aca="false">IF(OR(B187="Day",B187="Month"),"Q"&amp;ROUNDUP(MONTH(A187)/3,0)&amp;" "&amp;YEAR(A187),"")</f>
        <v/>
      </c>
    </row>
    <row r="188" customFormat="false" ht="15" hidden="false" customHeight="true" outlineLevel="0" collapsed="false">
      <c r="A188" s="14" t="n">
        <v>46174</v>
      </c>
      <c r="B188" s="6" t="s">
        <v>41</v>
      </c>
      <c r="C188" s="6" t="s">
        <v>11</v>
      </c>
      <c r="D188" s="15" t="n">
        <v>316</v>
      </c>
      <c r="E188" s="6" t="s">
        <v>65</v>
      </c>
      <c r="F188" s="16" t="str">
        <f aca="false">IF(OR(B188="Day",B188="Week"),"W"&amp;TEXT(WEEKNUM(A188,21),"00"),"")</f>
        <v>W23</v>
      </c>
      <c r="G188" s="16" t="str">
        <f aca="false">IF(OR(B188="Day",B188="Month"),TEXT(A188,"mmm yyyy"),"")</f>
        <v/>
      </c>
      <c r="H188" s="16" t="str">
        <f aca="false">IF(OR(B188="Day",B188="Month"),"Q"&amp;ROUNDUP(MONTH(A188)/3,0)&amp;" "&amp;YEAR(A188),"")</f>
        <v/>
      </c>
    </row>
    <row r="189" customFormat="false" ht="15" hidden="false" customHeight="true" outlineLevel="0" collapsed="false">
      <c r="A189" s="14" t="n">
        <v>46174</v>
      </c>
      <c r="B189" s="6" t="s">
        <v>41</v>
      </c>
      <c r="C189" s="6" t="s">
        <v>15</v>
      </c>
      <c r="D189" s="15" t="n">
        <v>305</v>
      </c>
      <c r="E189" s="6" t="s">
        <v>65</v>
      </c>
      <c r="F189" s="16" t="str">
        <f aca="false">IF(OR(B189="Day",B189="Week"),"W"&amp;TEXT(WEEKNUM(A189,21),"00"),"")</f>
        <v>W23</v>
      </c>
      <c r="G189" s="16" t="str">
        <f aca="false">IF(OR(B189="Day",B189="Month"),TEXT(A189,"mmm yyyy"),"")</f>
        <v/>
      </c>
      <c r="H189" s="16" t="str">
        <f aca="false">IF(OR(B189="Day",B189="Month"),"Q"&amp;ROUNDUP(MONTH(A189)/3,0)&amp;" "&amp;YEAR(A189),"")</f>
        <v/>
      </c>
    </row>
    <row r="190" customFormat="false" ht="15" hidden="false" customHeight="true" outlineLevel="0" collapsed="false">
      <c r="A190" s="14" t="n">
        <v>46174</v>
      </c>
      <c r="B190" s="6" t="s">
        <v>41</v>
      </c>
      <c r="C190" s="6" t="s">
        <v>19</v>
      </c>
      <c r="D190" s="15" t="n">
        <v>51</v>
      </c>
      <c r="E190" s="6" t="s">
        <v>65</v>
      </c>
      <c r="F190" s="16" t="str">
        <f aca="false">IF(OR(B190="Day",B190="Week"),"W"&amp;TEXT(WEEKNUM(A190,21),"00"),"")</f>
        <v>W23</v>
      </c>
      <c r="G190" s="16" t="str">
        <f aca="false">IF(OR(B190="Day",B190="Month"),TEXT(A190,"mmm yyyy"),"")</f>
        <v/>
      </c>
      <c r="H190" s="16" t="str">
        <f aca="false">IF(OR(B190="Day",B190="Month"),"Q"&amp;ROUNDUP(MONTH(A190)/3,0)&amp;" "&amp;YEAR(A190),"")</f>
        <v/>
      </c>
    </row>
    <row r="191" customFormat="false" ht="15" hidden="false" customHeight="true" outlineLevel="0" collapsed="false">
      <c r="A191" s="14" t="n">
        <v>46174</v>
      </c>
      <c r="B191" s="6" t="s">
        <v>41</v>
      </c>
      <c r="C191" s="6" t="s">
        <v>21</v>
      </c>
      <c r="D191" s="15" t="n">
        <v>169</v>
      </c>
      <c r="E191" s="6" t="s">
        <v>65</v>
      </c>
      <c r="F191" s="16" t="str">
        <f aca="false">IF(OR(B191="Day",B191="Week"),"W"&amp;TEXT(WEEKNUM(A191,21),"00"),"")</f>
        <v>W23</v>
      </c>
      <c r="G191" s="16" t="str">
        <f aca="false">IF(OR(B191="Day",B191="Month"),TEXT(A191,"mmm yyyy"),"")</f>
        <v/>
      </c>
      <c r="H191" s="16" t="str">
        <f aca="false">IF(OR(B191="Day",B191="Month"),"Q"&amp;ROUNDUP(MONTH(A191)/3,0)&amp;" "&amp;YEAR(A191),"")</f>
        <v/>
      </c>
    </row>
    <row r="192" customFormat="false" ht="15" hidden="false" customHeight="true" outlineLevel="0" collapsed="false">
      <c r="A192" s="14" t="n">
        <v>46174</v>
      </c>
      <c r="B192" s="6" t="s">
        <v>41</v>
      </c>
      <c r="C192" s="6" t="s">
        <v>23</v>
      </c>
      <c r="D192" s="15" t="n">
        <v>24.8</v>
      </c>
      <c r="E192" s="6" t="s">
        <v>65</v>
      </c>
      <c r="F192" s="16" t="str">
        <f aca="false">IF(OR(B192="Day",B192="Week"),"W"&amp;TEXT(WEEKNUM(A192,21),"00"),"")</f>
        <v>W23</v>
      </c>
      <c r="G192" s="16" t="str">
        <f aca="false">IF(OR(B192="Day",B192="Month"),TEXT(A192,"mmm yyyy"),"")</f>
        <v/>
      </c>
      <c r="H192" s="16" t="str">
        <f aca="false">IF(OR(B192="Day",B192="Month"),"Q"&amp;ROUNDUP(MONTH(A192)/3,0)&amp;" "&amp;YEAR(A192),"")</f>
        <v/>
      </c>
    </row>
    <row r="193" customFormat="false" ht="15" hidden="false" customHeight="true" outlineLevel="0" collapsed="false">
      <c r="A193" s="14" t="n">
        <v>46174</v>
      </c>
      <c r="B193" s="6" t="s">
        <v>41</v>
      </c>
      <c r="C193" s="6" t="s">
        <v>27</v>
      </c>
      <c r="D193" s="15" t="n">
        <v>5049000</v>
      </c>
      <c r="E193" s="6" t="s">
        <v>65</v>
      </c>
      <c r="F193" s="16" t="str">
        <f aca="false">IF(OR(B193="Day",B193="Week"),"W"&amp;TEXT(WEEKNUM(A193,21),"00"),"")</f>
        <v>W23</v>
      </c>
      <c r="G193" s="16" t="str">
        <f aca="false">IF(OR(B193="Day",B193="Month"),TEXT(A193,"mmm yyyy"),"")</f>
        <v/>
      </c>
      <c r="H193" s="16" t="str">
        <f aca="false">IF(OR(B193="Day",B193="Month"),"Q"&amp;ROUNDUP(MONTH(A193)/3,0)&amp;" "&amp;YEAR(A193),"")</f>
        <v/>
      </c>
    </row>
    <row r="194" customFormat="false" ht="15" hidden="false" customHeight="true" outlineLevel="0" collapsed="false">
      <c r="A194" s="14" t="n">
        <v>46181</v>
      </c>
      <c r="B194" s="6" t="s">
        <v>41</v>
      </c>
      <c r="C194" s="6" t="s">
        <v>11</v>
      </c>
      <c r="D194" s="15" t="n">
        <v>314</v>
      </c>
      <c r="E194" s="6" t="s">
        <v>66</v>
      </c>
      <c r="F194" s="16" t="str">
        <f aca="false">IF(OR(B194="Day",B194="Week"),"W"&amp;TEXT(WEEKNUM(A194,21),"00"),"")</f>
        <v>W24</v>
      </c>
      <c r="G194" s="16" t="str">
        <f aca="false">IF(OR(B194="Day",B194="Month"),TEXT(A194,"mmm yyyy"),"")</f>
        <v/>
      </c>
      <c r="H194" s="16" t="str">
        <f aca="false">IF(OR(B194="Day",B194="Month"),"Q"&amp;ROUNDUP(MONTH(A194)/3,0)&amp;" "&amp;YEAR(A194),"")</f>
        <v/>
      </c>
    </row>
    <row r="195" customFormat="false" ht="15" hidden="false" customHeight="true" outlineLevel="0" collapsed="false">
      <c r="A195" s="14" t="n">
        <v>46181</v>
      </c>
      <c r="B195" s="6" t="s">
        <v>41</v>
      </c>
      <c r="C195" s="6" t="s">
        <v>15</v>
      </c>
      <c r="D195" s="15" t="n">
        <v>297</v>
      </c>
      <c r="E195" s="6" t="s">
        <v>66</v>
      </c>
      <c r="F195" s="16" t="str">
        <f aca="false">IF(OR(B195="Day",B195="Week"),"W"&amp;TEXT(WEEKNUM(A195,21),"00"),"")</f>
        <v>W24</v>
      </c>
      <c r="G195" s="16" t="str">
        <f aca="false">IF(OR(B195="Day",B195="Month"),TEXT(A195,"mmm yyyy"),"")</f>
        <v/>
      </c>
      <c r="H195" s="16" t="str">
        <f aca="false">IF(OR(B195="Day",B195="Month"),"Q"&amp;ROUNDUP(MONTH(A195)/3,0)&amp;" "&amp;YEAR(A195),"")</f>
        <v/>
      </c>
    </row>
    <row r="196" customFormat="false" ht="15" hidden="false" customHeight="true" outlineLevel="0" collapsed="false">
      <c r="A196" s="14" t="n">
        <v>46181</v>
      </c>
      <c r="B196" s="6" t="s">
        <v>41</v>
      </c>
      <c r="C196" s="6" t="s">
        <v>19</v>
      </c>
      <c r="D196" s="15" t="n">
        <v>56</v>
      </c>
      <c r="E196" s="6" t="s">
        <v>66</v>
      </c>
      <c r="F196" s="16" t="str">
        <f aca="false">IF(OR(B196="Day",B196="Week"),"W"&amp;TEXT(WEEKNUM(A196,21),"00"),"")</f>
        <v>W24</v>
      </c>
      <c r="G196" s="16" t="str">
        <f aca="false">IF(OR(B196="Day",B196="Month"),TEXT(A196,"mmm yyyy"),"")</f>
        <v/>
      </c>
      <c r="H196" s="16" t="str">
        <f aca="false">IF(OR(B196="Day",B196="Month"),"Q"&amp;ROUNDUP(MONTH(A196)/3,0)&amp;" "&amp;YEAR(A196),"")</f>
        <v/>
      </c>
    </row>
    <row r="197" customFormat="false" ht="15" hidden="false" customHeight="true" outlineLevel="0" collapsed="false">
      <c r="A197" s="14" t="n">
        <v>46181</v>
      </c>
      <c r="B197" s="6" t="s">
        <v>41</v>
      </c>
      <c r="C197" s="6" t="s">
        <v>21</v>
      </c>
      <c r="D197" s="15" t="n">
        <v>188</v>
      </c>
      <c r="E197" s="6" t="s">
        <v>66</v>
      </c>
      <c r="F197" s="16" t="str">
        <f aca="false">IF(OR(B197="Day",B197="Week"),"W"&amp;TEXT(WEEKNUM(A197,21),"00"),"")</f>
        <v>W24</v>
      </c>
      <c r="G197" s="16" t="str">
        <f aca="false">IF(OR(B197="Day",B197="Month"),TEXT(A197,"mmm yyyy"),"")</f>
        <v/>
      </c>
      <c r="H197" s="16" t="str">
        <f aca="false">IF(OR(B197="Day",B197="Month"),"Q"&amp;ROUNDUP(MONTH(A197)/3,0)&amp;" "&amp;YEAR(A197),"")</f>
        <v/>
      </c>
    </row>
    <row r="198" customFormat="false" ht="15" hidden="false" customHeight="true" outlineLevel="0" collapsed="false">
      <c r="A198" s="14" t="n">
        <v>46181</v>
      </c>
      <c r="B198" s="6" t="s">
        <v>41</v>
      </c>
      <c r="C198" s="6" t="s">
        <v>23</v>
      </c>
      <c r="D198" s="15" t="n">
        <v>18.5</v>
      </c>
      <c r="E198" s="6" t="s">
        <v>66</v>
      </c>
      <c r="F198" s="16" t="str">
        <f aca="false">IF(OR(B198="Day",B198="Week"),"W"&amp;TEXT(WEEKNUM(A198,21),"00"),"")</f>
        <v>W24</v>
      </c>
      <c r="G198" s="16" t="str">
        <f aca="false">IF(OR(B198="Day",B198="Month"),TEXT(A198,"mmm yyyy"),"")</f>
        <v/>
      </c>
      <c r="H198" s="16" t="str">
        <f aca="false">IF(OR(B198="Day",B198="Month"),"Q"&amp;ROUNDUP(MONTH(A198)/3,0)&amp;" "&amp;YEAR(A198),"")</f>
        <v/>
      </c>
    </row>
    <row r="199" customFormat="false" ht="15" hidden="false" customHeight="true" outlineLevel="0" collapsed="false">
      <c r="A199" s="14" t="n">
        <v>46181</v>
      </c>
      <c r="B199" s="6" t="s">
        <v>41</v>
      </c>
      <c r="C199" s="6" t="s">
        <v>27</v>
      </c>
      <c r="D199" s="15" t="n">
        <v>5061000</v>
      </c>
      <c r="E199" s="6" t="s">
        <v>66</v>
      </c>
      <c r="F199" s="16" t="str">
        <f aca="false">IF(OR(B199="Day",B199="Week"),"W"&amp;TEXT(WEEKNUM(A199,21),"00"),"")</f>
        <v>W24</v>
      </c>
      <c r="G199" s="16" t="str">
        <f aca="false">IF(OR(B199="Day",B199="Month"),TEXT(A199,"mmm yyyy"),"")</f>
        <v/>
      </c>
      <c r="H199" s="16" t="str">
        <f aca="false">IF(OR(B199="Day",B199="Month"),"Q"&amp;ROUNDUP(MONTH(A199)/3,0)&amp;" "&amp;YEAR(A199),"")</f>
        <v/>
      </c>
    </row>
    <row r="200" customFormat="false" ht="15" hidden="false" customHeight="true" outlineLevel="0" collapsed="false">
      <c r="A200" s="14" t="n">
        <v>46188</v>
      </c>
      <c r="B200" s="6" t="s">
        <v>41</v>
      </c>
      <c r="C200" s="6" t="s">
        <v>11</v>
      </c>
      <c r="D200" s="15" t="n">
        <v>282</v>
      </c>
      <c r="E200" s="6" t="s">
        <v>67</v>
      </c>
      <c r="F200" s="16" t="str">
        <f aca="false">IF(OR(B200="Day",B200="Week"),"W"&amp;TEXT(WEEKNUM(A200,21),"00"),"")</f>
        <v>W25</v>
      </c>
      <c r="G200" s="16" t="str">
        <f aca="false">IF(OR(B200="Day",B200="Month"),TEXT(A200,"mmm yyyy"),"")</f>
        <v/>
      </c>
      <c r="H200" s="16" t="str">
        <f aca="false">IF(OR(B200="Day",B200="Month"),"Q"&amp;ROUNDUP(MONTH(A200)/3,0)&amp;" "&amp;YEAR(A200),"")</f>
        <v/>
      </c>
    </row>
    <row r="201" customFormat="false" ht="15" hidden="false" customHeight="true" outlineLevel="0" collapsed="false">
      <c r="A201" s="14" t="n">
        <v>46188</v>
      </c>
      <c r="B201" s="6" t="s">
        <v>41</v>
      </c>
      <c r="C201" s="6" t="s">
        <v>15</v>
      </c>
      <c r="D201" s="15" t="n">
        <v>267</v>
      </c>
      <c r="E201" s="6" t="s">
        <v>67</v>
      </c>
      <c r="F201" s="16" t="str">
        <f aca="false">IF(OR(B201="Day",B201="Week"),"W"&amp;TEXT(WEEKNUM(A201,21),"00"),"")</f>
        <v>W25</v>
      </c>
      <c r="G201" s="16" t="str">
        <f aca="false">IF(OR(B201="Day",B201="Month"),TEXT(A201,"mmm yyyy"),"")</f>
        <v/>
      </c>
      <c r="H201" s="16" t="str">
        <f aca="false">IF(OR(B201="Day",B201="Month"),"Q"&amp;ROUNDUP(MONTH(A201)/3,0)&amp;" "&amp;YEAR(A201),"")</f>
        <v/>
      </c>
    </row>
    <row r="202" customFormat="false" ht="15" hidden="false" customHeight="true" outlineLevel="0" collapsed="false">
      <c r="A202" s="14" t="n">
        <v>46188</v>
      </c>
      <c r="B202" s="6" t="s">
        <v>41</v>
      </c>
      <c r="C202" s="6" t="s">
        <v>19</v>
      </c>
      <c r="D202" s="15" t="n">
        <v>45</v>
      </c>
      <c r="E202" s="6" t="s">
        <v>67</v>
      </c>
      <c r="F202" s="16" t="str">
        <f aca="false">IF(OR(B202="Day",B202="Week"),"W"&amp;TEXT(WEEKNUM(A202,21),"00"),"")</f>
        <v>W25</v>
      </c>
      <c r="G202" s="16" t="str">
        <f aca="false">IF(OR(B202="Day",B202="Month"),TEXT(A202,"mmm yyyy"),"")</f>
        <v/>
      </c>
      <c r="H202" s="16" t="str">
        <f aca="false">IF(OR(B202="Day",B202="Month"),"Q"&amp;ROUNDUP(MONTH(A202)/3,0)&amp;" "&amp;YEAR(A202),"")</f>
        <v/>
      </c>
    </row>
    <row r="203" customFormat="false" ht="15" hidden="false" customHeight="true" outlineLevel="0" collapsed="false">
      <c r="A203" s="14" t="n">
        <v>46188</v>
      </c>
      <c r="B203" s="6" t="s">
        <v>41</v>
      </c>
      <c r="C203" s="6" t="s">
        <v>21</v>
      </c>
      <c r="D203" s="15" t="n">
        <v>175</v>
      </c>
      <c r="E203" s="6" t="s">
        <v>67</v>
      </c>
      <c r="F203" s="16" t="str">
        <f aca="false">IF(OR(B203="Day",B203="Week"),"W"&amp;TEXT(WEEKNUM(A203,21),"00"),"")</f>
        <v>W25</v>
      </c>
      <c r="G203" s="16" t="str">
        <f aca="false">IF(OR(B203="Day",B203="Month"),TEXT(A203,"mmm yyyy"),"")</f>
        <v/>
      </c>
      <c r="H203" s="16" t="str">
        <f aca="false">IF(OR(B203="Day",B203="Month"),"Q"&amp;ROUNDUP(MONTH(A203)/3,0)&amp;" "&amp;YEAR(A203),"")</f>
        <v/>
      </c>
    </row>
    <row r="204" customFormat="false" ht="15" hidden="false" customHeight="true" outlineLevel="0" collapsed="false">
      <c r="A204" s="14" t="n">
        <v>46188</v>
      </c>
      <c r="B204" s="6" t="s">
        <v>41</v>
      </c>
      <c r="C204" s="6" t="s">
        <v>23</v>
      </c>
      <c r="D204" s="15" t="n">
        <v>23.7</v>
      </c>
      <c r="E204" s="6" t="s">
        <v>67</v>
      </c>
      <c r="F204" s="16" t="str">
        <f aca="false">IF(OR(B204="Day",B204="Week"),"W"&amp;TEXT(WEEKNUM(A204,21),"00"),"")</f>
        <v>W25</v>
      </c>
      <c r="G204" s="16" t="str">
        <f aca="false">IF(OR(B204="Day",B204="Month"),TEXT(A204,"mmm yyyy"),"")</f>
        <v/>
      </c>
      <c r="H204" s="16" t="str">
        <f aca="false">IF(OR(B204="Day",B204="Month"),"Q"&amp;ROUNDUP(MONTH(A204)/3,0)&amp;" "&amp;YEAR(A204),"")</f>
        <v/>
      </c>
    </row>
    <row r="205" customFormat="false" ht="15" hidden="false" customHeight="true" outlineLevel="0" collapsed="false">
      <c r="A205" s="14" t="n">
        <v>46188</v>
      </c>
      <c r="B205" s="6" t="s">
        <v>41</v>
      </c>
      <c r="C205" s="6" t="s">
        <v>27</v>
      </c>
      <c r="D205" s="15" t="n">
        <v>5252000</v>
      </c>
      <c r="E205" s="6" t="s">
        <v>67</v>
      </c>
      <c r="F205" s="16" t="str">
        <f aca="false">IF(OR(B205="Day",B205="Week"),"W"&amp;TEXT(WEEKNUM(A205,21),"00"),"")</f>
        <v>W25</v>
      </c>
      <c r="G205" s="16" t="str">
        <f aca="false">IF(OR(B205="Day",B205="Month"),TEXT(A205,"mmm yyyy"),"")</f>
        <v/>
      </c>
      <c r="H205" s="16" t="str">
        <f aca="false">IF(OR(B205="Day",B205="Month"),"Q"&amp;ROUNDUP(MONTH(A205)/3,0)&amp;" "&amp;YEAR(A205),"")</f>
        <v/>
      </c>
    </row>
    <row r="206" customFormat="false" ht="15" hidden="false" customHeight="true" outlineLevel="0" collapsed="false">
      <c r="A206" s="14" t="n">
        <v>46195</v>
      </c>
      <c r="B206" s="6" t="s">
        <v>41</v>
      </c>
      <c r="C206" s="6" t="s">
        <v>11</v>
      </c>
      <c r="D206" s="15" t="n">
        <v>271</v>
      </c>
      <c r="E206" s="6" t="s">
        <v>68</v>
      </c>
      <c r="F206" s="16" t="str">
        <f aca="false">IF(OR(B206="Day",B206="Week"),"W"&amp;TEXT(WEEKNUM(A206,21),"00"),"")</f>
        <v>W26</v>
      </c>
      <c r="G206" s="16" t="str">
        <f aca="false">IF(OR(B206="Day",B206="Month"),TEXT(A206,"mmm yyyy"),"")</f>
        <v/>
      </c>
      <c r="H206" s="16" t="str">
        <f aca="false">IF(OR(B206="Day",B206="Month"),"Q"&amp;ROUNDUP(MONTH(A206)/3,0)&amp;" "&amp;YEAR(A206),"")</f>
        <v/>
      </c>
    </row>
    <row r="207" customFormat="false" ht="15" hidden="false" customHeight="true" outlineLevel="0" collapsed="false">
      <c r="A207" s="14" t="n">
        <v>46195</v>
      </c>
      <c r="B207" s="6" t="s">
        <v>41</v>
      </c>
      <c r="C207" s="6" t="s">
        <v>15</v>
      </c>
      <c r="D207" s="15" t="n">
        <v>255</v>
      </c>
      <c r="E207" s="6" t="s">
        <v>68</v>
      </c>
      <c r="F207" s="16" t="str">
        <f aca="false">IF(OR(B207="Day",B207="Week"),"W"&amp;TEXT(WEEKNUM(A207,21),"00"),"")</f>
        <v>W26</v>
      </c>
      <c r="G207" s="16" t="str">
        <f aca="false">IF(OR(B207="Day",B207="Month"),TEXT(A207,"mmm yyyy"),"")</f>
        <v/>
      </c>
      <c r="H207" s="16" t="str">
        <f aca="false">IF(OR(B207="Day",B207="Month"),"Q"&amp;ROUNDUP(MONTH(A207)/3,0)&amp;" "&amp;YEAR(A207),"")</f>
        <v/>
      </c>
    </row>
    <row r="208" customFormat="false" ht="15" hidden="false" customHeight="true" outlineLevel="0" collapsed="false">
      <c r="A208" s="14" t="n">
        <v>46195</v>
      </c>
      <c r="B208" s="6" t="s">
        <v>41</v>
      </c>
      <c r="C208" s="6" t="s">
        <v>19</v>
      </c>
      <c r="D208" s="15" t="n">
        <v>47</v>
      </c>
      <c r="E208" s="6" t="s">
        <v>68</v>
      </c>
      <c r="F208" s="16" t="str">
        <f aca="false">IF(OR(B208="Day",B208="Week"),"W"&amp;TEXT(WEEKNUM(A208,21),"00"),"")</f>
        <v>W26</v>
      </c>
      <c r="G208" s="16" t="str">
        <f aca="false">IF(OR(B208="Day",B208="Month"),TEXT(A208,"mmm yyyy"),"")</f>
        <v/>
      </c>
      <c r="H208" s="16" t="str">
        <f aca="false">IF(OR(B208="Day",B208="Month"),"Q"&amp;ROUNDUP(MONTH(A208)/3,0)&amp;" "&amp;YEAR(A208),"")</f>
        <v/>
      </c>
    </row>
    <row r="209" customFormat="false" ht="15" hidden="false" customHeight="true" outlineLevel="0" collapsed="false">
      <c r="A209" s="14" t="n">
        <v>46195</v>
      </c>
      <c r="B209" s="6" t="s">
        <v>41</v>
      </c>
      <c r="C209" s="6" t="s">
        <v>21</v>
      </c>
      <c r="D209" s="15" t="n">
        <v>184</v>
      </c>
      <c r="E209" s="6" t="s">
        <v>68</v>
      </c>
      <c r="F209" s="16" t="str">
        <f aca="false">IF(OR(B209="Day",B209="Week"),"W"&amp;TEXT(WEEKNUM(A209,21),"00"),"")</f>
        <v>W26</v>
      </c>
      <c r="G209" s="16" t="str">
        <f aca="false">IF(OR(B209="Day",B209="Month"),TEXT(A209,"mmm yyyy"),"")</f>
        <v/>
      </c>
      <c r="H209" s="16" t="str">
        <f aca="false">IF(OR(B209="Day",B209="Month"),"Q"&amp;ROUNDUP(MONTH(A209)/3,0)&amp;" "&amp;YEAR(A209),"")</f>
        <v/>
      </c>
    </row>
    <row r="210" customFormat="false" ht="15" hidden="false" customHeight="true" outlineLevel="0" collapsed="false">
      <c r="A210" s="14" t="n">
        <v>46195</v>
      </c>
      <c r="B210" s="6" t="s">
        <v>41</v>
      </c>
      <c r="C210" s="6" t="s">
        <v>23</v>
      </c>
      <c r="D210" s="15" t="n">
        <v>20</v>
      </c>
      <c r="E210" s="6" t="s">
        <v>68</v>
      </c>
      <c r="F210" s="16" t="str">
        <f aca="false">IF(OR(B210="Day",B210="Week"),"W"&amp;TEXT(WEEKNUM(A210,21),"00"),"")</f>
        <v>W26</v>
      </c>
      <c r="G210" s="16" t="str">
        <f aca="false">IF(OR(B210="Day",B210="Month"),TEXT(A210,"mmm yyyy"),"")</f>
        <v/>
      </c>
      <c r="H210" s="16" t="str">
        <f aca="false">IF(OR(B210="Day",B210="Month"),"Q"&amp;ROUNDUP(MONTH(A210)/3,0)&amp;" "&amp;YEAR(A210),"")</f>
        <v/>
      </c>
    </row>
    <row r="211" customFormat="false" ht="15" hidden="false" customHeight="true" outlineLevel="0" collapsed="false">
      <c r="A211" s="14" t="n">
        <v>46195</v>
      </c>
      <c r="B211" s="6" t="s">
        <v>41</v>
      </c>
      <c r="C211" s="6" t="s">
        <v>27</v>
      </c>
      <c r="D211" s="15" t="n">
        <v>4802000</v>
      </c>
      <c r="E211" s="6" t="s">
        <v>68</v>
      </c>
      <c r="F211" s="16" t="str">
        <f aca="false">IF(OR(B211="Day",B211="Week"),"W"&amp;TEXT(WEEKNUM(A211,21),"00"),"")</f>
        <v>W26</v>
      </c>
      <c r="G211" s="16" t="str">
        <f aca="false">IF(OR(B211="Day",B211="Month"),TEXT(A211,"mmm yyyy"),"")</f>
        <v/>
      </c>
      <c r="H211" s="16" t="str">
        <f aca="false">IF(OR(B211="Day",B211="Month"),"Q"&amp;ROUNDUP(MONTH(A211)/3,0)&amp;" "&amp;YEAR(A211),"")</f>
        <v/>
      </c>
    </row>
    <row r="212" customFormat="false" ht="15" hidden="false" customHeight="true" outlineLevel="0" collapsed="false">
      <c r="A212" s="14" t="n">
        <v>46202</v>
      </c>
      <c r="B212" s="6" t="s">
        <v>41</v>
      </c>
      <c r="C212" s="6" t="s">
        <v>11</v>
      </c>
      <c r="D212" s="15" t="n">
        <v>305</v>
      </c>
      <c r="E212" s="6" t="s">
        <v>69</v>
      </c>
      <c r="F212" s="16" t="str">
        <f aca="false">IF(OR(B212="Day",B212="Week"),"W"&amp;TEXT(WEEKNUM(A212,21),"00"),"")</f>
        <v>W27</v>
      </c>
      <c r="G212" s="16" t="str">
        <f aca="false">IF(OR(B212="Day",B212="Month"),TEXT(A212,"mmm yyyy"),"")</f>
        <v/>
      </c>
      <c r="H212" s="16" t="str">
        <f aca="false">IF(OR(B212="Day",B212="Month"),"Q"&amp;ROUNDUP(MONTH(A212)/3,0)&amp;" "&amp;YEAR(A212),"")</f>
        <v/>
      </c>
    </row>
    <row r="213" customFormat="false" ht="15" hidden="false" customHeight="true" outlineLevel="0" collapsed="false">
      <c r="A213" s="14" t="n">
        <v>46202</v>
      </c>
      <c r="B213" s="6" t="s">
        <v>41</v>
      </c>
      <c r="C213" s="6" t="s">
        <v>15</v>
      </c>
      <c r="D213" s="15" t="n">
        <v>293</v>
      </c>
      <c r="E213" s="6" t="s">
        <v>69</v>
      </c>
      <c r="F213" s="16" t="str">
        <f aca="false">IF(OR(B213="Day",B213="Week"),"W"&amp;TEXT(WEEKNUM(A213,21),"00"),"")</f>
        <v>W27</v>
      </c>
      <c r="G213" s="16" t="str">
        <f aca="false">IF(OR(B213="Day",B213="Month"),TEXT(A213,"mmm yyyy"),"")</f>
        <v/>
      </c>
      <c r="H213" s="16" t="str">
        <f aca="false">IF(OR(B213="Day",B213="Month"),"Q"&amp;ROUNDUP(MONTH(A213)/3,0)&amp;" "&amp;YEAR(A213),"")</f>
        <v/>
      </c>
    </row>
    <row r="214" customFormat="false" ht="15" hidden="false" customHeight="true" outlineLevel="0" collapsed="false">
      <c r="A214" s="14" t="n">
        <v>46202</v>
      </c>
      <c r="B214" s="6" t="s">
        <v>41</v>
      </c>
      <c r="C214" s="6" t="s">
        <v>19</v>
      </c>
      <c r="D214" s="15" t="n">
        <v>51</v>
      </c>
      <c r="E214" s="6" t="s">
        <v>69</v>
      </c>
      <c r="F214" s="16" t="str">
        <f aca="false">IF(OR(B214="Day",B214="Week"),"W"&amp;TEXT(WEEKNUM(A214,21),"00"),"")</f>
        <v>W27</v>
      </c>
      <c r="G214" s="16" t="str">
        <f aca="false">IF(OR(B214="Day",B214="Month"),TEXT(A214,"mmm yyyy"),"")</f>
        <v/>
      </c>
      <c r="H214" s="16" t="str">
        <f aca="false">IF(OR(B214="Day",B214="Month"),"Q"&amp;ROUNDUP(MONTH(A214)/3,0)&amp;" "&amp;YEAR(A214),"")</f>
        <v/>
      </c>
    </row>
    <row r="215" customFormat="false" ht="15" hidden="false" customHeight="true" outlineLevel="0" collapsed="false">
      <c r="A215" s="14" t="n">
        <v>46202</v>
      </c>
      <c r="B215" s="6" t="s">
        <v>41</v>
      </c>
      <c r="C215" s="6" t="s">
        <v>21</v>
      </c>
      <c r="D215" s="15" t="n">
        <v>195</v>
      </c>
      <c r="E215" s="6" t="s">
        <v>69</v>
      </c>
      <c r="F215" s="16" t="str">
        <f aca="false">IF(OR(B215="Day",B215="Week"),"W"&amp;TEXT(WEEKNUM(A215,21),"00"),"")</f>
        <v>W27</v>
      </c>
      <c r="G215" s="16" t="str">
        <f aca="false">IF(OR(B215="Day",B215="Month"),TEXT(A215,"mmm yyyy"),"")</f>
        <v/>
      </c>
      <c r="H215" s="16" t="str">
        <f aca="false">IF(OR(B215="Day",B215="Month"),"Q"&amp;ROUNDUP(MONTH(A215)/3,0)&amp;" "&amp;YEAR(A215),"")</f>
        <v/>
      </c>
    </row>
    <row r="216" customFormat="false" ht="15" hidden="false" customHeight="true" outlineLevel="0" collapsed="false">
      <c r="A216" s="14" t="n">
        <v>46202</v>
      </c>
      <c r="B216" s="6" t="s">
        <v>41</v>
      </c>
      <c r="C216" s="6" t="s">
        <v>23</v>
      </c>
      <c r="D216" s="15" t="n">
        <v>21.1</v>
      </c>
      <c r="E216" s="6" t="s">
        <v>69</v>
      </c>
      <c r="F216" s="16" t="str">
        <f aca="false">IF(OR(B216="Day",B216="Week"),"W"&amp;TEXT(WEEKNUM(A216,21),"00"),"")</f>
        <v>W27</v>
      </c>
      <c r="G216" s="16" t="str">
        <f aca="false">IF(OR(B216="Day",B216="Month"),TEXT(A216,"mmm yyyy"),"")</f>
        <v/>
      </c>
      <c r="H216" s="16" t="str">
        <f aca="false">IF(OR(B216="Day",B216="Month"),"Q"&amp;ROUNDUP(MONTH(A216)/3,0)&amp;" "&amp;YEAR(A216),"")</f>
        <v/>
      </c>
    </row>
    <row r="217" customFormat="false" ht="15" hidden="false" customHeight="true" outlineLevel="0" collapsed="false">
      <c r="A217" s="14" t="n">
        <v>46202</v>
      </c>
      <c r="B217" s="6" t="s">
        <v>41</v>
      </c>
      <c r="C217" s="6" t="s">
        <v>27</v>
      </c>
      <c r="D217" s="15" t="n">
        <v>5100000</v>
      </c>
      <c r="E217" s="6" t="s">
        <v>69</v>
      </c>
      <c r="F217" s="16" t="str">
        <f aca="false">IF(OR(B217="Day",B217="Week"),"W"&amp;TEXT(WEEKNUM(A217,21),"00"),"")</f>
        <v>W27</v>
      </c>
      <c r="G217" s="16" t="str">
        <f aca="false">IF(OR(B217="Day",B217="Month"),TEXT(A217,"mmm yyyy"),"")</f>
        <v/>
      </c>
      <c r="H217" s="16" t="str">
        <f aca="false">IF(OR(B217="Day",B217="Month"),"Q"&amp;ROUNDUP(MONTH(A217)/3,0)&amp;" "&amp;YEAR(A217),"")</f>
        <v/>
      </c>
    </row>
    <row r="218" customFormat="false" ht="15" hidden="false" customHeight="true" outlineLevel="0" collapsed="false">
      <c r="A218" s="14" t="n">
        <v>46209</v>
      </c>
      <c r="B218" s="6" t="s">
        <v>41</v>
      </c>
      <c r="C218" s="6" t="s">
        <v>11</v>
      </c>
      <c r="D218" s="15" t="n">
        <v>295</v>
      </c>
      <c r="E218" s="6" t="s">
        <v>70</v>
      </c>
      <c r="F218" s="16" t="str">
        <f aca="false">IF(OR(B218="Day",B218="Week"),"W"&amp;TEXT(WEEKNUM(A218,21),"00"),"")</f>
        <v>W28</v>
      </c>
      <c r="G218" s="16" t="str">
        <f aca="false">IF(OR(B218="Day",B218="Month"),TEXT(A218,"mmm yyyy"),"")</f>
        <v/>
      </c>
      <c r="H218" s="16" t="str">
        <f aca="false">IF(OR(B218="Day",B218="Month"),"Q"&amp;ROUNDUP(MONTH(A218)/3,0)&amp;" "&amp;YEAR(A218),"")</f>
        <v/>
      </c>
    </row>
    <row r="219" customFormat="false" ht="15" hidden="false" customHeight="true" outlineLevel="0" collapsed="false">
      <c r="A219" s="14" t="n">
        <v>46209</v>
      </c>
      <c r="B219" s="6" t="s">
        <v>41</v>
      </c>
      <c r="C219" s="6" t="s">
        <v>15</v>
      </c>
      <c r="D219" s="15" t="n">
        <v>278</v>
      </c>
      <c r="E219" s="6" t="s">
        <v>70</v>
      </c>
      <c r="F219" s="16" t="str">
        <f aca="false">IF(OR(B219="Day",B219="Week"),"W"&amp;TEXT(WEEKNUM(A219,21),"00"),"")</f>
        <v>W28</v>
      </c>
      <c r="G219" s="16" t="str">
        <f aca="false">IF(OR(B219="Day",B219="Month"),TEXT(A219,"mmm yyyy"),"")</f>
        <v/>
      </c>
      <c r="H219" s="16" t="str">
        <f aca="false">IF(OR(B219="Day",B219="Month"),"Q"&amp;ROUNDUP(MONTH(A219)/3,0)&amp;" "&amp;YEAR(A219),"")</f>
        <v/>
      </c>
    </row>
    <row r="220" customFormat="false" ht="15" hidden="false" customHeight="true" outlineLevel="0" collapsed="false">
      <c r="A220" s="14" t="n">
        <v>46209</v>
      </c>
      <c r="B220" s="6" t="s">
        <v>41</v>
      </c>
      <c r="C220" s="6" t="s">
        <v>19</v>
      </c>
      <c r="D220" s="15" t="n">
        <v>47</v>
      </c>
      <c r="E220" s="6" t="s">
        <v>70</v>
      </c>
      <c r="F220" s="16" t="str">
        <f aca="false">IF(OR(B220="Day",B220="Week"),"W"&amp;TEXT(WEEKNUM(A220,21),"00"),"")</f>
        <v>W28</v>
      </c>
      <c r="G220" s="16" t="str">
        <f aca="false">IF(OR(B220="Day",B220="Month"),TEXT(A220,"mmm yyyy"),"")</f>
        <v/>
      </c>
      <c r="H220" s="16" t="str">
        <f aca="false">IF(OR(B220="Day",B220="Month"),"Q"&amp;ROUNDUP(MONTH(A220)/3,0)&amp;" "&amp;YEAR(A220),"")</f>
        <v/>
      </c>
    </row>
    <row r="221" customFormat="false" ht="15" hidden="false" customHeight="true" outlineLevel="0" collapsed="false">
      <c r="A221" s="14" t="n">
        <v>46209</v>
      </c>
      <c r="B221" s="6" t="s">
        <v>41</v>
      </c>
      <c r="C221" s="6" t="s">
        <v>21</v>
      </c>
      <c r="D221" s="15" t="n">
        <v>196</v>
      </c>
      <c r="E221" s="6" t="s">
        <v>70</v>
      </c>
      <c r="F221" s="16" t="str">
        <f aca="false">IF(OR(B221="Day",B221="Week"),"W"&amp;TEXT(WEEKNUM(A221,21),"00"),"")</f>
        <v>W28</v>
      </c>
      <c r="G221" s="16" t="str">
        <f aca="false">IF(OR(B221="Day",B221="Month"),TEXT(A221,"mmm yyyy"),"")</f>
        <v/>
      </c>
      <c r="H221" s="16" t="str">
        <f aca="false">IF(OR(B221="Day",B221="Month"),"Q"&amp;ROUNDUP(MONTH(A221)/3,0)&amp;" "&amp;YEAR(A221),"")</f>
        <v/>
      </c>
    </row>
    <row r="222" customFormat="false" ht="15" hidden="false" customHeight="true" outlineLevel="0" collapsed="false">
      <c r="A222" s="14" t="n">
        <v>46209</v>
      </c>
      <c r="B222" s="6" t="s">
        <v>41</v>
      </c>
      <c r="C222" s="6" t="s">
        <v>23</v>
      </c>
      <c r="D222" s="15" t="n">
        <v>25.8</v>
      </c>
      <c r="E222" s="6" t="s">
        <v>70</v>
      </c>
      <c r="F222" s="16" t="str">
        <f aca="false">IF(OR(B222="Day",B222="Week"),"W"&amp;TEXT(WEEKNUM(A222,21),"00"),"")</f>
        <v>W28</v>
      </c>
      <c r="G222" s="16" t="str">
        <f aca="false">IF(OR(B222="Day",B222="Month"),TEXT(A222,"mmm yyyy"),"")</f>
        <v/>
      </c>
      <c r="H222" s="16" t="str">
        <f aca="false">IF(OR(B222="Day",B222="Month"),"Q"&amp;ROUNDUP(MONTH(A222)/3,0)&amp;" "&amp;YEAR(A222),"")</f>
        <v/>
      </c>
    </row>
    <row r="223" customFormat="false" ht="15" hidden="false" customHeight="true" outlineLevel="0" collapsed="false">
      <c r="A223" s="14" t="n">
        <v>46209</v>
      </c>
      <c r="B223" s="6" t="s">
        <v>41</v>
      </c>
      <c r="C223" s="6" t="s">
        <v>27</v>
      </c>
      <c r="D223" s="15" t="n">
        <v>4931000</v>
      </c>
      <c r="E223" s="6" t="s">
        <v>70</v>
      </c>
      <c r="F223" s="16" t="str">
        <f aca="false">IF(OR(B223="Day",B223="Week"),"W"&amp;TEXT(WEEKNUM(A223,21),"00"),"")</f>
        <v>W28</v>
      </c>
      <c r="G223" s="16" t="str">
        <f aca="false">IF(OR(B223="Day",B223="Month"),TEXT(A223,"mmm yyyy"),"")</f>
        <v/>
      </c>
      <c r="H223" s="16" t="str">
        <f aca="false">IF(OR(B223="Day",B223="Month"),"Q"&amp;ROUNDUP(MONTH(A223)/3,0)&amp;" "&amp;YEAR(A223),"")</f>
        <v/>
      </c>
    </row>
    <row r="224" customFormat="false" ht="15" hidden="false" customHeight="true" outlineLevel="0" collapsed="false">
      <c r="A224" s="14" t="n">
        <v>46216</v>
      </c>
      <c r="B224" s="6" t="s">
        <v>41</v>
      </c>
      <c r="C224" s="6" t="s">
        <v>11</v>
      </c>
      <c r="D224" s="15" t="n">
        <v>289</v>
      </c>
      <c r="E224" s="6" t="s">
        <v>71</v>
      </c>
      <c r="F224" s="16" t="str">
        <f aca="false">IF(OR(B224="Day",B224="Week"),"W"&amp;TEXT(WEEKNUM(A224,21),"00"),"")</f>
        <v>W29</v>
      </c>
      <c r="G224" s="16" t="str">
        <f aca="false">IF(OR(B224="Day",B224="Month"),TEXT(A224,"mmm yyyy"),"")</f>
        <v/>
      </c>
      <c r="H224" s="16" t="str">
        <f aca="false">IF(OR(B224="Day",B224="Month"),"Q"&amp;ROUNDUP(MONTH(A224)/3,0)&amp;" "&amp;YEAR(A224),"")</f>
        <v/>
      </c>
    </row>
    <row r="225" customFormat="false" ht="15" hidden="false" customHeight="true" outlineLevel="0" collapsed="false">
      <c r="A225" s="14" t="n">
        <v>46216</v>
      </c>
      <c r="B225" s="6" t="s">
        <v>41</v>
      </c>
      <c r="C225" s="6" t="s">
        <v>15</v>
      </c>
      <c r="D225" s="15" t="n">
        <v>276</v>
      </c>
      <c r="E225" s="6" t="s">
        <v>71</v>
      </c>
      <c r="F225" s="16" t="str">
        <f aca="false">IF(OR(B225="Day",B225="Week"),"W"&amp;TEXT(WEEKNUM(A225,21),"00"),"")</f>
        <v>W29</v>
      </c>
      <c r="G225" s="16" t="str">
        <f aca="false">IF(OR(B225="Day",B225="Month"),TEXT(A225,"mmm yyyy"),"")</f>
        <v/>
      </c>
      <c r="H225" s="16" t="str">
        <f aca="false">IF(OR(B225="Day",B225="Month"),"Q"&amp;ROUNDUP(MONTH(A225)/3,0)&amp;" "&amp;YEAR(A225),"")</f>
        <v/>
      </c>
    </row>
    <row r="226" customFormat="false" ht="15" hidden="false" customHeight="true" outlineLevel="0" collapsed="false">
      <c r="A226" s="14" t="n">
        <v>46216</v>
      </c>
      <c r="B226" s="6" t="s">
        <v>41</v>
      </c>
      <c r="C226" s="6" t="s">
        <v>19</v>
      </c>
      <c r="D226" s="15" t="n">
        <v>51</v>
      </c>
      <c r="E226" s="6" t="s">
        <v>71</v>
      </c>
      <c r="F226" s="16" t="str">
        <f aca="false">IF(OR(B226="Day",B226="Week"),"W"&amp;TEXT(WEEKNUM(A226,21),"00"),"")</f>
        <v>W29</v>
      </c>
      <c r="G226" s="16" t="str">
        <f aca="false">IF(OR(B226="Day",B226="Month"),TEXT(A226,"mmm yyyy"),"")</f>
        <v/>
      </c>
      <c r="H226" s="16" t="str">
        <f aca="false">IF(OR(B226="Day",B226="Month"),"Q"&amp;ROUNDUP(MONTH(A226)/3,0)&amp;" "&amp;YEAR(A226),"")</f>
        <v/>
      </c>
    </row>
    <row r="227" customFormat="false" ht="15" hidden="false" customHeight="true" outlineLevel="0" collapsed="false">
      <c r="A227" s="14" t="n">
        <v>46216</v>
      </c>
      <c r="B227" s="6" t="s">
        <v>41</v>
      </c>
      <c r="C227" s="6" t="s">
        <v>21</v>
      </c>
      <c r="D227" s="15" t="n">
        <v>175</v>
      </c>
      <c r="E227" s="6" t="s">
        <v>71</v>
      </c>
      <c r="F227" s="16" t="str">
        <f aca="false">IF(OR(B227="Day",B227="Week"),"W"&amp;TEXT(WEEKNUM(A227,21),"00"),"")</f>
        <v>W29</v>
      </c>
      <c r="G227" s="16" t="str">
        <f aca="false">IF(OR(B227="Day",B227="Month"),TEXT(A227,"mmm yyyy"),"")</f>
        <v/>
      </c>
      <c r="H227" s="16" t="str">
        <f aca="false">IF(OR(B227="Day",B227="Month"),"Q"&amp;ROUNDUP(MONTH(A227)/3,0)&amp;" "&amp;YEAR(A227),"")</f>
        <v/>
      </c>
    </row>
    <row r="228" customFormat="false" ht="15" hidden="false" customHeight="true" outlineLevel="0" collapsed="false">
      <c r="A228" s="14" t="n">
        <v>46216</v>
      </c>
      <c r="B228" s="6" t="s">
        <v>41</v>
      </c>
      <c r="C228" s="6" t="s">
        <v>23</v>
      </c>
      <c r="D228" s="15" t="n">
        <v>25.4</v>
      </c>
      <c r="E228" s="6" t="s">
        <v>71</v>
      </c>
      <c r="F228" s="16" t="str">
        <f aca="false">IF(OR(B228="Day",B228="Week"),"W"&amp;TEXT(WEEKNUM(A228,21),"00"),"")</f>
        <v>W29</v>
      </c>
      <c r="G228" s="16" t="str">
        <f aca="false">IF(OR(B228="Day",B228="Month"),TEXT(A228,"mmm yyyy"),"")</f>
        <v/>
      </c>
      <c r="H228" s="16" t="str">
        <f aca="false">IF(OR(B228="Day",B228="Month"),"Q"&amp;ROUNDUP(MONTH(A228)/3,0)&amp;" "&amp;YEAR(A228),"")</f>
        <v/>
      </c>
    </row>
    <row r="229" customFormat="false" ht="15" hidden="false" customHeight="true" outlineLevel="0" collapsed="false">
      <c r="A229" s="14" t="n">
        <v>46216</v>
      </c>
      <c r="B229" s="6" t="s">
        <v>41</v>
      </c>
      <c r="C229" s="6" t="s">
        <v>27</v>
      </c>
      <c r="D229" s="15" t="n">
        <v>5209000</v>
      </c>
      <c r="E229" s="6" t="s">
        <v>71</v>
      </c>
      <c r="F229" s="16" t="str">
        <f aca="false">IF(OR(B229="Day",B229="Week"),"W"&amp;TEXT(WEEKNUM(A229,21),"00"),"")</f>
        <v>W29</v>
      </c>
      <c r="G229" s="16" t="str">
        <f aca="false">IF(OR(B229="Day",B229="Month"),TEXT(A229,"mmm yyyy"),"")</f>
        <v/>
      </c>
      <c r="H229" s="16" t="str">
        <f aca="false">IF(OR(B229="Day",B229="Month"),"Q"&amp;ROUNDUP(MONTH(A229)/3,0)&amp;" "&amp;YEAR(A229),"")</f>
        <v/>
      </c>
    </row>
    <row r="230" customFormat="false" ht="15" hidden="false" customHeight="true" outlineLevel="0" collapsed="false">
      <c r="A230" s="14" t="n">
        <v>46223</v>
      </c>
      <c r="B230" s="6" t="s">
        <v>41</v>
      </c>
      <c r="C230" s="6" t="s">
        <v>11</v>
      </c>
      <c r="D230" s="15" t="n">
        <v>322</v>
      </c>
      <c r="E230" s="6" t="s">
        <v>72</v>
      </c>
      <c r="F230" s="16" t="str">
        <f aca="false">IF(OR(B230="Day",B230="Week"),"W"&amp;TEXT(WEEKNUM(A230,21),"00"),"")</f>
        <v>W30</v>
      </c>
      <c r="G230" s="16" t="str">
        <f aca="false">IF(OR(B230="Day",B230="Month"),TEXT(A230,"mmm yyyy"),"")</f>
        <v/>
      </c>
      <c r="H230" s="16" t="str">
        <f aca="false">IF(OR(B230="Day",B230="Month"),"Q"&amp;ROUNDUP(MONTH(A230)/3,0)&amp;" "&amp;YEAR(A230),"")</f>
        <v/>
      </c>
    </row>
    <row r="231" customFormat="false" ht="15" hidden="false" customHeight="true" outlineLevel="0" collapsed="false">
      <c r="A231" s="14" t="n">
        <v>46223</v>
      </c>
      <c r="B231" s="6" t="s">
        <v>41</v>
      </c>
      <c r="C231" s="6" t="s">
        <v>15</v>
      </c>
      <c r="D231" s="15" t="n">
        <v>309</v>
      </c>
      <c r="E231" s="6" t="s">
        <v>72</v>
      </c>
      <c r="F231" s="16" t="str">
        <f aca="false">IF(OR(B231="Day",B231="Week"),"W"&amp;TEXT(WEEKNUM(A231,21),"00"),"")</f>
        <v>W30</v>
      </c>
      <c r="G231" s="16" t="str">
        <f aca="false">IF(OR(B231="Day",B231="Month"),TEXT(A231,"mmm yyyy"),"")</f>
        <v/>
      </c>
      <c r="H231" s="16" t="str">
        <f aca="false">IF(OR(B231="Day",B231="Month"),"Q"&amp;ROUNDUP(MONTH(A231)/3,0)&amp;" "&amp;YEAR(A231),"")</f>
        <v/>
      </c>
    </row>
    <row r="232" customFormat="false" ht="15" hidden="false" customHeight="true" outlineLevel="0" collapsed="false">
      <c r="A232" s="14" t="n">
        <v>46223</v>
      </c>
      <c r="B232" s="6" t="s">
        <v>41</v>
      </c>
      <c r="C232" s="6" t="s">
        <v>19</v>
      </c>
      <c r="D232" s="15" t="n">
        <v>56</v>
      </c>
      <c r="E232" s="6" t="s">
        <v>72</v>
      </c>
      <c r="F232" s="16" t="str">
        <f aca="false">IF(OR(B232="Day",B232="Week"),"W"&amp;TEXT(WEEKNUM(A232,21),"00"),"")</f>
        <v>W30</v>
      </c>
      <c r="G232" s="16" t="str">
        <f aca="false">IF(OR(B232="Day",B232="Month"),TEXT(A232,"mmm yyyy"),"")</f>
        <v/>
      </c>
      <c r="H232" s="16" t="str">
        <f aca="false">IF(OR(B232="Day",B232="Month"),"Q"&amp;ROUNDUP(MONTH(A232)/3,0)&amp;" "&amp;YEAR(A232),"")</f>
        <v/>
      </c>
    </row>
    <row r="233" customFormat="false" ht="15" hidden="false" customHeight="true" outlineLevel="0" collapsed="false">
      <c r="A233" s="14" t="n">
        <v>46223</v>
      </c>
      <c r="B233" s="6" t="s">
        <v>41</v>
      </c>
      <c r="C233" s="6" t="s">
        <v>21</v>
      </c>
      <c r="D233" s="15" t="n">
        <v>158</v>
      </c>
      <c r="E233" s="6" t="s">
        <v>72</v>
      </c>
      <c r="F233" s="16" t="str">
        <f aca="false">IF(OR(B233="Day",B233="Week"),"W"&amp;TEXT(WEEKNUM(A233,21),"00"),"")</f>
        <v>W30</v>
      </c>
      <c r="G233" s="16" t="str">
        <f aca="false">IF(OR(B233="Day",B233="Month"),TEXT(A233,"mmm yyyy"),"")</f>
        <v/>
      </c>
      <c r="H233" s="16" t="str">
        <f aca="false">IF(OR(B233="Day",B233="Month"),"Q"&amp;ROUNDUP(MONTH(A233)/3,0)&amp;" "&amp;YEAR(A233),"")</f>
        <v/>
      </c>
    </row>
    <row r="234" customFormat="false" ht="15" hidden="false" customHeight="true" outlineLevel="0" collapsed="false">
      <c r="A234" s="14" t="n">
        <v>46223</v>
      </c>
      <c r="B234" s="6" t="s">
        <v>41</v>
      </c>
      <c r="C234" s="6" t="s">
        <v>23</v>
      </c>
      <c r="D234" s="15" t="n">
        <v>22</v>
      </c>
      <c r="E234" s="6" t="s">
        <v>72</v>
      </c>
      <c r="F234" s="16" t="str">
        <f aca="false">IF(OR(B234="Day",B234="Week"),"W"&amp;TEXT(WEEKNUM(A234,21),"00"),"")</f>
        <v>W30</v>
      </c>
      <c r="G234" s="16" t="str">
        <f aca="false">IF(OR(B234="Day",B234="Month"),TEXT(A234,"mmm yyyy"),"")</f>
        <v/>
      </c>
      <c r="H234" s="16" t="str">
        <f aca="false">IF(OR(B234="Day",B234="Month"),"Q"&amp;ROUNDUP(MONTH(A234)/3,0)&amp;" "&amp;YEAR(A234),"")</f>
        <v/>
      </c>
    </row>
    <row r="235" customFormat="false" ht="15" hidden="false" customHeight="true" outlineLevel="0" collapsed="false">
      <c r="A235" s="14" t="n">
        <v>46223</v>
      </c>
      <c r="B235" s="6" t="s">
        <v>41</v>
      </c>
      <c r="C235" s="6" t="s">
        <v>27</v>
      </c>
      <c r="D235" s="15" t="n">
        <v>4865000</v>
      </c>
      <c r="E235" s="6" t="s">
        <v>72</v>
      </c>
      <c r="F235" s="16" t="str">
        <f aca="false">IF(OR(B235="Day",B235="Week"),"W"&amp;TEXT(WEEKNUM(A235,21),"00"),"")</f>
        <v>W30</v>
      </c>
      <c r="G235" s="16" t="str">
        <f aca="false">IF(OR(B235="Day",B235="Month"),TEXT(A235,"mmm yyyy"),"")</f>
        <v/>
      </c>
      <c r="H235" s="16" t="str">
        <f aca="false">IF(OR(B235="Day",B235="Month"),"Q"&amp;ROUNDUP(MONTH(A235)/3,0)&amp;" "&amp;YEAR(A235),"")</f>
        <v/>
      </c>
    </row>
    <row r="236" customFormat="false" ht="15" hidden="false" customHeight="true" outlineLevel="0" collapsed="false">
      <c r="A236" s="14" t="n">
        <v>46230</v>
      </c>
      <c r="B236" s="6" t="s">
        <v>41</v>
      </c>
      <c r="C236" s="6" t="s">
        <v>11</v>
      </c>
      <c r="D236" s="15" t="n">
        <v>294</v>
      </c>
      <c r="E236" s="6" t="s">
        <v>73</v>
      </c>
      <c r="F236" s="16" t="str">
        <f aca="false">IF(OR(B236="Day",B236="Week"),"W"&amp;TEXT(WEEKNUM(A236,21),"00"),"")</f>
        <v>W31</v>
      </c>
      <c r="G236" s="16" t="str">
        <f aca="false">IF(OR(B236="Day",B236="Month"),TEXT(A236,"mmm yyyy"),"")</f>
        <v/>
      </c>
      <c r="H236" s="16" t="str">
        <f aca="false">IF(OR(B236="Day",B236="Month"),"Q"&amp;ROUNDUP(MONTH(A236)/3,0)&amp;" "&amp;YEAR(A236),"")</f>
        <v/>
      </c>
    </row>
    <row r="237" customFormat="false" ht="15" hidden="false" customHeight="true" outlineLevel="0" collapsed="false">
      <c r="A237" s="14" t="n">
        <v>46230</v>
      </c>
      <c r="B237" s="6" t="s">
        <v>41</v>
      </c>
      <c r="C237" s="6" t="s">
        <v>15</v>
      </c>
      <c r="D237" s="15" t="n">
        <v>278</v>
      </c>
      <c r="E237" s="6" t="s">
        <v>73</v>
      </c>
      <c r="F237" s="16" t="str">
        <f aca="false">IF(OR(B237="Day",B237="Week"),"W"&amp;TEXT(WEEKNUM(A237,21),"00"),"")</f>
        <v>W31</v>
      </c>
      <c r="G237" s="16" t="str">
        <f aca="false">IF(OR(B237="Day",B237="Month"),TEXT(A237,"mmm yyyy"),"")</f>
        <v/>
      </c>
      <c r="H237" s="16" t="str">
        <f aca="false">IF(OR(B237="Day",B237="Month"),"Q"&amp;ROUNDUP(MONTH(A237)/3,0)&amp;" "&amp;YEAR(A237),"")</f>
        <v/>
      </c>
    </row>
    <row r="238" customFormat="false" ht="15" hidden="false" customHeight="true" outlineLevel="0" collapsed="false">
      <c r="A238" s="14" t="n">
        <v>46230</v>
      </c>
      <c r="B238" s="6" t="s">
        <v>41</v>
      </c>
      <c r="C238" s="6" t="s">
        <v>19</v>
      </c>
      <c r="D238" s="15" t="n">
        <v>48</v>
      </c>
      <c r="E238" s="6" t="s">
        <v>73</v>
      </c>
      <c r="F238" s="16" t="str">
        <f aca="false">IF(OR(B238="Day",B238="Week"),"W"&amp;TEXT(WEEKNUM(A238,21),"00"),"")</f>
        <v>W31</v>
      </c>
      <c r="G238" s="16" t="str">
        <f aca="false">IF(OR(B238="Day",B238="Month"),TEXT(A238,"mmm yyyy"),"")</f>
        <v/>
      </c>
      <c r="H238" s="16" t="str">
        <f aca="false">IF(OR(B238="Day",B238="Month"),"Q"&amp;ROUNDUP(MONTH(A238)/3,0)&amp;" "&amp;YEAR(A238),"")</f>
        <v/>
      </c>
    </row>
    <row r="239" customFormat="false" ht="15" hidden="false" customHeight="true" outlineLevel="0" collapsed="false">
      <c r="A239" s="14" t="n">
        <v>46230</v>
      </c>
      <c r="B239" s="6" t="s">
        <v>41</v>
      </c>
      <c r="C239" s="6" t="s">
        <v>21</v>
      </c>
      <c r="D239" s="15" t="n">
        <v>175</v>
      </c>
      <c r="E239" s="6" t="s">
        <v>73</v>
      </c>
      <c r="F239" s="16" t="str">
        <f aca="false">IF(OR(B239="Day",B239="Week"),"W"&amp;TEXT(WEEKNUM(A239,21),"00"),"")</f>
        <v>W31</v>
      </c>
      <c r="G239" s="16" t="str">
        <f aca="false">IF(OR(B239="Day",B239="Month"),TEXT(A239,"mmm yyyy"),"")</f>
        <v/>
      </c>
      <c r="H239" s="16" t="str">
        <f aca="false">IF(OR(B239="Day",B239="Month"),"Q"&amp;ROUNDUP(MONTH(A239)/3,0)&amp;" "&amp;YEAR(A239),"")</f>
        <v/>
      </c>
    </row>
    <row r="240" customFormat="false" ht="15" hidden="false" customHeight="true" outlineLevel="0" collapsed="false">
      <c r="A240" s="14" t="n">
        <v>46230</v>
      </c>
      <c r="B240" s="6" t="s">
        <v>41</v>
      </c>
      <c r="C240" s="6" t="s">
        <v>23</v>
      </c>
      <c r="D240" s="15" t="n">
        <v>20.7</v>
      </c>
      <c r="E240" s="6" t="s">
        <v>73</v>
      </c>
      <c r="F240" s="16" t="str">
        <f aca="false">IF(OR(B240="Day",B240="Week"),"W"&amp;TEXT(WEEKNUM(A240,21),"00"),"")</f>
        <v>W31</v>
      </c>
      <c r="G240" s="16" t="str">
        <f aca="false">IF(OR(B240="Day",B240="Month"),TEXT(A240,"mmm yyyy"),"")</f>
        <v/>
      </c>
      <c r="H240" s="16" t="str">
        <f aca="false">IF(OR(B240="Day",B240="Month"),"Q"&amp;ROUNDUP(MONTH(A240)/3,0)&amp;" "&amp;YEAR(A240),"")</f>
        <v/>
      </c>
    </row>
    <row r="241" customFormat="false" ht="15" hidden="false" customHeight="true" outlineLevel="0" collapsed="false">
      <c r="A241" s="14" t="n">
        <v>46230</v>
      </c>
      <c r="B241" s="6" t="s">
        <v>41</v>
      </c>
      <c r="C241" s="6" t="s">
        <v>27</v>
      </c>
      <c r="D241" s="15" t="n">
        <v>5203000</v>
      </c>
      <c r="E241" s="6" t="s">
        <v>73</v>
      </c>
      <c r="F241" s="16" t="str">
        <f aca="false">IF(OR(B241="Day",B241="Week"),"W"&amp;TEXT(WEEKNUM(A241,21),"00"),"")</f>
        <v>W31</v>
      </c>
      <c r="G241" s="16" t="str">
        <f aca="false">IF(OR(B241="Day",B241="Month"),TEXT(A241,"mmm yyyy"),"")</f>
        <v/>
      </c>
      <c r="H241" s="16" t="str">
        <f aca="false">IF(OR(B241="Day",B241="Month"),"Q"&amp;ROUNDUP(MONTH(A241)/3,0)&amp;" "&amp;YEAR(A241),"")</f>
        <v/>
      </c>
    </row>
    <row r="242" customFormat="false" ht="15" hidden="false" customHeight="true" outlineLevel="0" collapsed="false">
      <c r="A242" s="14" t="n">
        <v>46237</v>
      </c>
      <c r="B242" s="6" t="s">
        <v>41</v>
      </c>
      <c r="C242" s="6" t="s">
        <v>11</v>
      </c>
      <c r="D242" s="15" t="n">
        <v>298</v>
      </c>
      <c r="E242" s="6" t="s">
        <v>74</v>
      </c>
      <c r="F242" s="16" t="str">
        <f aca="false">IF(OR(B242="Day",B242="Week"),"W"&amp;TEXT(WEEKNUM(A242,21),"00"),"")</f>
        <v>W32</v>
      </c>
      <c r="G242" s="16" t="str">
        <f aca="false">IF(OR(B242="Day",B242="Month"),TEXT(A242,"mmm yyyy"),"")</f>
        <v/>
      </c>
      <c r="H242" s="16" t="str">
        <f aca="false">IF(OR(B242="Day",B242="Month"),"Q"&amp;ROUNDUP(MONTH(A242)/3,0)&amp;" "&amp;YEAR(A242),"")</f>
        <v/>
      </c>
    </row>
    <row r="243" customFormat="false" ht="15" hidden="false" customHeight="true" outlineLevel="0" collapsed="false">
      <c r="A243" s="14" t="n">
        <v>46237</v>
      </c>
      <c r="B243" s="6" t="s">
        <v>41</v>
      </c>
      <c r="C243" s="6" t="s">
        <v>15</v>
      </c>
      <c r="D243" s="15" t="n">
        <v>289</v>
      </c>
      <c r="E243" s="6" t="s">
        <v>74</v>
      </c>
      <c r="F243" s="16" t="str">
        <f aca="false">IF(OR(B243="Day",B243="Week"),"W"&amp;TEXT(WEEKNUM(A243,21),"00"),"")</f>
        <v>W32</v>
      </c>
      <c r="G243" s="16" t="str">
        <f aca="false">IF(OR(B243="Day",B243="Month"),TEXT(A243,"mmm yyyy"),"")</f>
        <v/>
      </c>
      <c r="H243" s="16" t="str">
        <f aca="false">IF(OR(B243="Day",B243="Month"),"Q"&amp;ROUNDUP(MONTH(A243)/3,0)&amp;" "&amp;YEAR(A243),"")</f>
        <v/>
      </c>
    </row>
    <row r="244" customFormat="false" ht="15" hidden="false" customHeight="true" outlineLevel="0" collapsed="false">
      <c r="A244" s="14" t="n">
        <v>46237</v>
      </c>
      <c r="B244" s="6" t="s">
        <v>41</v>
      </c>
      <c r="C244" s="6" t="s">
        <v>19</v>
      </c>
      <c r="D244" s="15" t="n">
        <v>53</v>
      </c>
      <c r="E244" s="6" t="s">
        <v>74</v>
      </c>
      <c r="F244" s="16" t="str">
        <f aca="false">IF(OR(B244="Day",B244="Week"),"W"&amp;TEXT(WEEKNUM(A244,21),"00"),"")</f>
        <v>W32</v>
      </c>
      <c r="G244" s="16" t="str">
        <f aca="false">IF(OR(B244="Day",B244="Month"),TEXT(A244,"mmm yyyy"),"")</f>
        <v/>
      </c>
      <c r="H244" s="16" t="str">
        <f aca="false">IF(OR(B244="Day",B244="Month"),"Q"&amp;ROUNDUP(MONTH(A244)/3,0)&amp;" "&amp;YEAR(A244),"")</f>
        <v/>
      </c>
    </row>
    <row r="245" customFormat="false" ht="15" hidden="false" customHeight="true" outlineLevel="0" collapsed="false">
      <c r="A245" s="14" t="n">
        <v>46237</v>
      </c>
      <c r="B245" s="6" t="s">
        <v>41</v>
      </c>
      <c r="C245" s="6" t="s">
        <v>21</v>
      </c>
      <c r="D245" s="15" t="n">
        <v>152</v>
      </c>
      <c r="E245" s="6" t="s">
        <v>74</v>
      </c>
      <c r="F245" s="16" t="str">
        <f aca="false">IF(OR(B245="Day",B245="Week"),"W"&amp;TEXT(WEEKNUM(A245,21),"00"),"")</f>
        <v>W32</v>
      </c>
      <c r="G245" s="16" t="str">
        <f aca="false">IF(OR(B245="Day",B245="Month"),TEXT(A245,"mmm yyyy"),"")</f>
        <v/>
      </c>
      <c r="H245" s="16" t="str">
        <f aca="false">IF(OR(B245="Day",B245="Month"),"Q"&amp;ROUNDUP(MONTH(A245)/3,0)&amp;" "&amp;YEAR(A245),"")</f>
        <v/>
      </c>
    </row>
    <row r="246" customFormat="false" ht="15" hidden="false" customHeight="true" outlineLevel="0" collapsed="false">
      <c r="A246" s="14" t="n">
        <v>46237</v>
      </c>
      <c r="B246" s="6" t="s">
        <v>41</v>
      </c>
      <c r="C246" s="6" t="s">
        <v>23</v>
      </c>
      <c r="D246" s="15" t="n">
        <v>25.5</v>
      </c>
      <c r="E246" s="6" t="s">
        <v>74</v>
      </c>
      <c r="F246" s="16" t="str">
        <f aca="false">IF(OR(B246="Day",B246="Week"),"W"&amp;TEXT(WEEKNUM(A246,21),"00"),"")</f>
        <v>W32</v>
      </c>
      <c r="G246" s="16" t="str">
        <f aca="false">IF(OR(B246="Day",B246="Month"),TEXT(A246,"mmm yyyy"),"")</f>
        <v/>
      </c>
      <c r="H246" s="16" t="str">
        <f aca="false">IF(OR(B246="Day",B246="Month"),"Q"&amp;ROUNDUP(MONTH(A246)/3,0)&amp;" "&amp;YEAR(A246),"")</f>
        <v/>
      </c>
    </row>
    <row r="247" customFormat="false" ht="15" hidden="false" customHeight="true" outlineLevel="0" collapsed="false">
      <c r="A247" s="14" t="n">
        <v>46237</v>
      </c>
      <c r="B247" s="6" t="s">
        <v>41</v>
      </c>
      <c r="C247" s="6" t="s">
        <v>27</v>
      </c>
      <c r="D247" s="15" t="n">
        <v>4725000</v>
      </c>
      <c r="E247" s="6" t="s">
        <v>74</v>
      </c>
      <c r="F247" s="16" t="str">
        <f aca="false">IF(OR(B247="Day",B247="Week"),"W"&amp;TEXT(WEEKNUM(A247,21),"00"),"")</f>
        <v>W32</v>
      </c>
      <c r="G247" s="16" t="str">
        <f aca="false">IF(OR(B247="Day",B247="Month"),TEXT(A247,"mmm yyyy"),"")</f>
        <v/>
      </c>
      <c r="H247" s="16" t="str">
        <f aca="false">IF(OR(B247="Day",B247="Month"),"Q"&amp;ROUNDUP(MONTH(A247)/3,0)&amp;" "&amp;YEAR(A247),"")</f>
        <v/>
      </c>
    </row>
    <row r="248" customFormat="false" ht="15" hidden="false" customHeight="true" outlineLevel="0" collapsed="false">
      <c r="A248" s="14" t="n">
        <v>46244</v>
      </c>
      <c r="B248" s="6" t="s">
        <v>41</v>
      </c>
      <c r="C248" s="6" t="s">
        <v>11</v>
      </c>
      <c r="D248" s="15" t="n">
        <v>305</v>
      </c>
      <c r="E248" s="6" t="s">
        <v>75</v>
      </c>
      <c r="F248" s="16" t="str">
        <f aca="false">IF(OR(B248="Day",B248="Week"),"W"&amp;TEXT(WEEKNUM(A248,21),"00"),"")</f>
        <v>W33</v>
      </c>
      <c r="G248" s="16" t="str">
        <f aca="false">IF(OR(B248="Day",B248="Month"),TEXT(A248,"mmm yyyy"),"")</f>
        <v/>
      </c>
      <c r="H248" s="16" t="str">
        <f aca="false">IF(OR(B248="Day",B248="Month"),"Q"&amp;ROUNDUP(MONTH(A248)/3,0)&amp;" "&amp;YEAR(A248),"")</f>
        <v/>
      </c>
    </row>
    <row r="249" customFormat="false" ht="15" hidden="false" customHeight="true" outlineLevel="0" collapsed="false">
      <c r="A249" s="14" t="n">
        <v>46244</v>
      </c>
      <c r="B249" s="6" t="s">
        <v>41</v>
      </c>
      <c r="C249" s="6" t="s">
        <v>15</v>
      </c>
      <c r="D249" s="15" t="n">
        <v>294</v>
      </c>
      <c r="E249" s="6" t="s">
        <v>75</v>
      </c>
      <c r="F249" s="16" t="str">
        <f aca="false">IF(OR(B249="Day",B249="Week"),"W"&amp;TEXT(WEEKNUM(A249,21),"00"),"")</f>
        <v>W33</v>
      </c>
      <c r="G249" s="16" t="str">
        <f aca="false">IF(OR(B249="Day",B249="Month"),TEXT(A249,"mmm yyyy"),"")</f>
        <v/>
      </c>
      <c r="H249" s="16" t="str">
        <f aca="false">IF(OR(B249="Day",B249="Month"),"Q"&amp;ROUNDUP(MONTH(A249)/3,0)&amp;" "&amp;YEAR(A249),"")</f>
        <v/>
      </c>
    </row>
    <row r="250" customFormat="false" ht="15" hidden="false" customHeight="true" outlineLevel="0" collapsed="false">
      <c r="A250" s="14" t="n">
        <v>46244</v>
      </c>
      <c r="B250" s="6" t="s">
        <v>41</v>
      </c>
      <c r="C250" s="6" t="s">
        <v>19</v>
      </c>
      <c r="D250" s="15" t="n">
        <v>53</v>
      </c>
      <c r="E250" s="6" t="s">
        <v>75</v>
      </c>
      <c r="F250" s="16" t="str">
        <f aca="false">IF(OR(B250="Day",B250="Week"),"W"&amp;TEXT(WEEKNUM(A250,21),"00"),"")</f>
        <v>W33</v>
      </c>
      <c r="G250" s="16" t="str">
        <f aca="false">IF(OR(B250="Day",B250="Month"),TEXT(A250,"mmm yyyy"),"")</f>
        <v/>
      </c>
      <c r="H250" s="16" t="str">
        <f aca="false">IF(OR(B250="Day",B250="Month"),"Q"&amp;ROUNDUP(MONTH(A250)/3,0)&amp;" "&amp;YEAR(A250),"")</f>
        <v/>
      </c>
    </row>
    <row r="251" customFormat="false" ht="15" hidden="false" customHeight="true" outlineLevel="0" collapsed="false">
      <c r="A251" s="14" t="n">
        <v>46244</v>
      </c>
      <c r="B251" s="6" t="s">
        <v>41</v>
      </c>
      <c r="C251" s="6" t="s">
        <v>21</v>
      </c>
      <c r="D251" s="15" t="n">
        <v>190</v>
      </c>
      <c r="E251" s="6" t="s">
        <v>75</v>
      </c>
      <c r="F251" s="16" t="str">
        <f aca="false">IF(OR(B251="Day",B251="Week"),"W"&amp;TEXT(WEEKNUM(A251,21),"00"),"")</f>
        <v>W33</v>
      </c>
      <c r="G251" s="16" t="str">
        <f aca="false">IF(OR(B251="Day",B251="Month"),TEXT(A251,"mmm yyyy"),"")</f>
        <v/>
      </c>
      <c r="H251" s="16" t="str">
        <f aca="false">IF(OR(B251="Day",B251="Month"),"Q"&amp;ROUNDUP(MONTH(A251)/3,0)&amp;" "&amp;YEAR(A251),"")</f>
        <v/>
      </c>
    </row>
    <row r="252" customFormat="false" ht="15" hidden="false" customHeight="true" outlineLevel="0" collapsed="false">
      <c r="A252" s="14" t="n">
        <v>46244</v>
      </c>
      <c r="B252" s="6" t="s">
        <v>41</v>
      </c>
      <c r="C252" s="6" t="s">
        <v>23</v>
      </c>
      <c r="D252" s="15" t="n">
        <v>17.8</v>
      </c>
      <c r="E252" s="6" t="s">
        <v>75</v>
      </c>
      <c r="F252" s="16" t="str">
        <f aca="false">IF(OR(B252="Day",B252="Week"),"W"&amp;TEXT(WEEKNUM(A252,21),"00"),"")</f>
        <v>W33</v>
      </c>
      <c r="G252" s="16" t="str">
        <f aca="false">IF(OR(B252="Day",B252="Month"),TEXT(A252,"mmm yyyy"),"")</f>
        <v/>
      </c>
      <c r="H252" s="16" t="str">
        <f aca="false">IF(OR(B252="Day",B252="Month"),"Q"&amp;ROUNDUP(MONTH(A252)/3,0)&amp;" "&amp;YEAR(A252),"")</f>
        <v/>
      </c>
    </row>
    <row r="253" customFormat="false" ht="15" hidden="false" customHeight="true" outlineLevel="0" collapsed="false">
      <c r="A253" s="14" t="n">
        <v>46244</v>
      </c>
      <c r="B253" s="6" t="s">
        <v>41</v>
      </c>
      <c r="C253" s="6" t="s">
        <v>27</v>
      </c>
      <c r="D253" s="15" t="n">
        <v>4782000</v>
      </c>
      <c r="E253" s="6" t="s">
        <v>75</v>
      </c>
      <c r="F253" s="16" t="str">
        <f aca="false">IF(OR(B253="Day",B253="Week"),"W"&amp;TEXT(WEEKNUM(A253,21),"00"),"")</f>
        <v>W33</v>
      </c>
      <c r="G253" s="16" t="str">
        <f aca="false">IF(OR(B253="Day",B253="Month"),TEXT(A253,"mmm yyyy"),"")</f>
        <v/>
      </c>
      <c r="H253" s="16" t="str">
        <f aca="false">IF(OR(B253="Day",B253="Month"),"Q"&amp;ROUNDUP(MONTH(A253)/3,0)&amp;" "&amp;YEAR(A253),"")</f>
        <v/>
      </c>
    </row>
    <row r="254" customFormat="false" ht="15" hidden="false" customHeight="true" outlineLevel="0" collapsed="false">
      <c r="A254" s="14" t="n">
        <v>46251</v>
      </c>
      <c r="B254" s="6" t="s">
        <v>41</v>
      </c>
      <c r="C254" s="6" t="s">
        <v>11</v>
      </c>
      <c r="D254" s="15" t="n">
        <v>276</v>
      </c>
      <c r="E254" s="6" t="s">
        <v>76</v>
      </c>
      <c r="F254" s="16" t="str">
        <f aca="false">IF(OR(B254="Day",B254="Week"),"W"&amp;TEXT(WEEKNUM(A254,21),"00"),"")</f>
        <v>W34</v>
      </c>
      <c r="G254" s="16" t="str">
        <f aca="false">IF(OR(B254="Day",B254="Month"),TEXT(A254,"mmm yyyy"),"")</f>
        <v/>
      </c>
      <c r="H254" s="16" t="str">
        <f aca="false">IF(OR(B254="Day",B254="Month"),"Q"&amp;ROUNDUP(MONTH(A254)/3,0)&amp;" "&amp;YEAR(A254),"")</f>
        <v/>
      </c>
    </row>
    <row r="255" customFormat="false" ht="15" hidden="false" customHeight="true" outlineLevel="0" collapsed="false">
      <c r="A255" s="14" t="n">
        <v>46251</v>
      </c>
      <c r="B255" s="6" t="s">
        <v>41</v>
      </c>
      <c r="C255" s="6" t="s">
        <v>15</v>
      </c>
      <c r="D255" s="15" t="n">
        <v>264</v>
      </c>
      <c r="E255" s="6" t="s">
        <v>76</v>
      </c>
      <c r="F255" s="16" t="str">
        <f aca="false">IF(OR(B255="Day",B255="Week"),"W"&amp;TEXT(WEEKNUM(A255,21),"00"),"")</f>
        <v>W34</v>
      </c>
      <c r="G255" s="16" t="str">
        <f aca="false">IF(OR(B255="Day",B255="Month"),TEXT(A255,"mmm yyyy"),"")</f>
        <v/>
      </c>
      <c r="H255" s="16" t="str">
        <f aca="false">IF(OR(B255="Day",B255="Month"),"Q"&amp;ROUNDUP(MONTH(A255)/3,0)&amp;" "&amp;YEAR(A255),"")</f>
        <v/>
      </c>
    </row>
    <row r="256" customFormat="false" ht="15" hidden="false" customHeight="true" outlineLevel="0" collapsed="false">
      <c r="A256" s="14" t="n">
        <v>46251</v>
      </c>
      <c r="B256" s="6" t="s">
        <v>41</v>
      </c>
      <c r="C256" s="6" t="s">
        <v>19</v>
      </c>
      <c r="D256" s="15" t="n">
        <v>44</v>
      </c>
      <c r="E256" s="6" t="s">
        <v>76</v>
      </c>
      <c r="F256" s="16" t="str">
        <f aca="false">IF(OR(B256="Day",B256="Week"),"W"&amp;TEXT(WEEKNUM(A256,21),"00"),"")</f>
        <v>W34</v>
      </c>
      <c r="G256" s="16" t="str">
        <f aca="false">IF(OR(B256="Day",B256="Month"),TEXT(A256,"mmm yyyy"),"")</f>
        <v/>
      </c>
      <c r="H256" s="16" t="str">
        <f aca="false">IF(OR(B256="Day",B256="Month"),"Q"&amp;ROUNDUP(MONTH(A256)/3,0)&amp;" "&amp;YEAR(A256),"")</f>
        <v/>
      </c>
    </row>
    <row r="257" customFormat="false" ht="15" hidden="false" customHeight="true" outlineLevel="0" collapsed="false">
      <c r="A257" s="14" t="n">
        <v>46251</v>
      </c>
      <c r="B257" s="6" t="s">
        <v>41</v>
      </c>
      <c r="C257" s="6" t="s">
        <v>21</v>
      </c>
      <c r="D257" s="15" t="n">
        <v>162</v>
      </c>
      <c r="E257" s="6" t="s">
        <v>76</v>
      </c>
      <c r="F257" s="16" t="str">
        <f aca="false">IF(OR(B257="Day",B257="Week"),"W"&amp;TEXT(WEEKNUM(A257,21),"00"),"")</f>
        <v>W34</v>
      </c>
      <c r="G257" s="16" t="str">
        <f aca="false">IF(OR(B257="Day",B257="Month"),TEXT(A257,"mmm yyyy"),"")</f>
        <v/>
      </c>
      <c r="H257" s="16" t="str">
        <f aca="false">IF(OR(B257="Day",B257="Month"),"Q"&amp;ROUNDUP(MONTH(A257)/3,0)&amp;" "&amp;YEAR(A257),"")</f>
        <v/>
      </c>
    </row>
    <row r="258" customFormat="false" ht="15" hidden="false" customHeight="true" outlineLevel="0" collapsed="false">
      <c r="A258" s="14" t="n">
        <v>46251</v>
      </c>
      <c r="B258" s="6" t="s">
        <v>41</v>
      </c>
      <c r="C258" s="6" t="s">
        <v>23</v>
      </c>
      <c r="D258" s="15" t="n">
        <v>18.9</v>
      </c>
      <c r="E258" s="6" t="s">
        <v>76</v>
      </c>
      <c r="F258" s="16" t="str">
        <f aca="false">IF(OR(B258="Day",B258="Week"),"W"&amp;TEXT(WEEKNUM(A258,21),"00"),"")</f>
        <v>W34</v>
      </c>
      <c r="G258" s="16" t="str">
        <f aca="false">IF(OR(B258="Day",B258="Month"),TEXT(A258,"mmm yyyy"),"")</f>
        <v/>
      </c>
      <c r="H258" s="16" t="str">
        <f aca="false">IF(OR(B258="Day",B258="Month"),"Q"&amp;ROUNDUP(MONTH(A258)/3,0)&amp;" "&amp;YEAR(A258),"")</f>
        <v/>
      </c>
    </row>
    <row r="259" customFormat="false" ht="15" hidden="false" customHeight="true" outlineLevel="0" collapsed="false">
      <c r="A259" s="14" t="n">
        <v>46251</v>
      </c>
      <c r="B259" s="6" t="s">
        <v>41</v>
      </c>
      <c r="C259" s="6" t="s">
        <v>27</v>
      </c>
      <c r="D259" s="15" t="n">
        <v>4728000</v>
      </c>
      <c r="E259" s="6" t="s">
        <v>76</v>
      </c>
      <c r="F259" s="16" t="str">
        <f aca="false">IF(OR(B259="Day",B259="Week"),"W"&amp;TEXT(WEEKNUM(A259,21),"00"),"")</f>
        <v>W34</v>
      </c>
      <c r="G259" s="16" t="str">
        <f aca="false">IF(OR(B259="Day",B259="Month"),TEXT(A259,"mmm yyyy"),"")</f>
        <v/>
      </c>
      <c r="H259" s="16" t="str">
        <f aca="false">IF(OR(B259="Day",B259="Month"),"Q"&amp;ROUNDUP(MONTH(A259)/3,0)&amp;" "&amp;YEAR(A259),"")</f>
        <v/>
      </c>
    </row>
    <row r="260" customFormat="false" ht="15" hidden="false" customHeight="true" outlineLevel="0" collapsed="false">
      <c r="A260" s="14" t="n">
        <v>46258</v>
      </c>
      <c r="B260" s="6" t="s">
        <v>41</v>
      </c>
      <c r="C260" s="6" t="s">
        <v>11</v>
      </c>
      <c r="D260" s="15" t="n">
        <v>298</v>
      </c>
      <c r="E260" s="6" t="s">
        <v>77</v>
      </c>
      <c r="F260" s="16" t="str">
        <f aca="false">IF(OR(B260="Day",B260="Week"),"W"&amp;TEXT(WEEKNUM(A260,21),"00"),"")</f>
        <v>W35</v>
      </c>
      <c r="G260" s="16" t="str">
        <f aca="false">IF(OR(B260="Day",B260="Month"),TEXT(A260,"mmm yyyy"),"")</f>
        <v/>
      </c>
      <c r="H260" s="16" t="str">
        <f aca="false">IF(OR(B260="Day",B260="Month"),"Q"&amp;ROUNDUP(MONTH(A260)/3,0)&amp;" "&amp;YEAR(A260),"")</f>
        <v/>
      </c>
    </row>
    <row r="261" customFormat="false" ht="15" hidden="false" customHeight="true" outlineLevel="0" collapsed="false">
      <c r="A261" s="14" t="n">
        <v>46258</v>
      </c>
      <c r="B261" s="6" t="s">
        <v>41</v>
      </c>
      <c r="C261" s="6" t="s">
        <v>15</v>
      </c>
      <c r="D261" s="15" t="n">
        <v>286</v>
      </c>
      <c r="E261" s="6" t="s">
        <v>77</v>
      </c>
      <c r="F261" s="16" t="str">
        <f aca="false">IF(OR(B261="Day",B261="Week"),"W"&amp;TEXT(WEEKNUM(A261,21),"00"),"")</f>
        <v>W35</v>
      </c>
      <c r="G261" s="16" t="str">
        <f aca="false">IF(OR(B261="Day",B261="Month"),TEXT(A261,"mmm yyyy"),"")</f>
        <v/>
      </c>
      <c r="H261" s="16" t="str">
        <f aca="false">IF(OR(B261="Day",B261="Month"),"Q"&amp;ROUNDUP(MONTH(A261)/3,0)&amp;" "&amp;YEAR(A261),"")</f>
        <v/>
      </c>
    </row>
    <row r="262" customFormat="false" ht="15" hidden="false" customHeight="true" outlineLevel="0" collapsed="false">
      <c r="A262" s="14" t="n">
        <v>46258</v>
      </c>
      <c r="B262" s="6" t="s">
        <v>41</v>
      </c>
      <c r="C262" s="6" t="s">
        <v>19</v>
      </c>
      <c r="D262" s="15" t="n">
        <v>49</v>
      </c>
      <c r="E262" s="6" t="s">
        <v>77</v>
      </c>
      <c r="F262" s="16" t="str">
        <f aca="false">IF(OR(B262="Day",B262="Week"),"W"&amp;TEXT(WEEKNUM(A262,21),"00"),"")</f>
        <v>W35</v>
      </c>
      <c r="G262" s="16" t="str">
        <f aca="false">IF(OR(B262="Day",B262="Month"),TEXT(A262,"mmm yyyy"),"")</f>
        <v/>
      </c>
      <c r="H262" s="16" t="str">
        <f aca="false">IF(OR(B262="Day",B262="Month"),"Q"&amp;ROUNDUP(MONTH(A262)/3,0)&amp;" "&amp;YEAR(A262),"")</f>
        <v/>
      </c>
    </row>
    <row r="263" customFormat="false" ht="15" hidden="false" customHeight="true" outlineLevel="0" collapsed="false">
      <c r="A263" s="14" t="n">
        <v>46258</v>
      </c>
      <c r="B263" s="6" t="s">
        <v>41</v>
      </c>
      <c r="C263" s="6" t="s">
        <v>21</v>
      </c>
      <c r="D263" s="15" t="n">
        <v>183</v>
      </c>
      <c r="E263" s="6" t="s">
        <v>77</v>
      </c>
      <c r="F263" s="16" t="str">
        <f aca="false">IF(OR(B263="Day",B263="Week"),"W"&amp;TEXT(WEEKNUM(A263,21),"00"),"")</f>
        <v>W35</v>
      </c>
      <c r="G263" s="16" t="str">
        <f aca="false">IF(OR(B263="Day",B263="Month"),TEXT(A263,"mmm yyyy"),"")</f>
        <v/>
      </c>
      <c r="H263" s="16" t="str">
        <f aca="false">IF(OR(B263="Day",B263="Month"),"Q"&amp;ROUNDUP(MONTH(A263)/3,0)&amp;" "&amp;YEAR(A263),"")</f>
        <v/>
      </c>
    </row>
    <row r="264" customFormat="false" ht="15" hidden="false" customHeight="true" outlineLevel="0" collapsed="false">
      <c r="A264" s="14" t="n">
        <v>46258</v>
      </c>
      <c r="B264" s="6" t="s">
        <v>41</v>
      </c>
      <c r="C264" s="6" t="s">
        <v>23</v>
      </c>
      <c r="D264" s="15" t="n">
        <v>24.9</v>
      </c>
      <c r="E264" s="6" t="s">
        <v>77</v>
      </c>
      <c r="F264" s="16" t="str">
        <f aca="false">IF(OR(B264="Day",B264="Week"),"W"&amp;TEXT(WEEKNUM(A264,21),"00"),"")</f>
        <v>W35</v>
      </c>
      <c r="G264" s="16" t="str">
        <f aca="false">IF(OR(B264="Day",B264="Month"),TEXT(A264,"mmm yyyy"),"")</f>
        <v/>
      </c>
      <c r="H264" s="16" t="str">
        <f aca="false">IF(OR(B264="Day",B264="Month"),"Q"&amp;ROUNDUP(MONTH(A264)/3,0)&amp;" "&amp;YEAR(A264),"")</f>
        <v/>
      </c>
    </row>
    <row r="265" customFormat="false" ht="15" hidden="false" customHeight="true" outlineLevel="0" collapsed="false">
      <c r="A265" s="14" t="n">
        <v>46258</v>
      </c>
      <c r="B265" s="6" t="s">
        <v>41</v>
      </c>
      <c r="C265" s="6" t="s">
        <v>27</v>
      </c>
      <c r="D265" s="15" t="n">
        <v>5275000</v>
      </c>
      <c r="E265" s="6" t="s">
        <v>77</v>
      </c>
      <c r="F265" s="16" t="str">
        <f aca="false">IF(OR(B265="Day",B265="Week"),"W"&amp;TEXT(WEEKNUM(A265,21),"00"),"")</f>
        <v>W35</v>
      </c>
      <c r="G265" s="16" t="str">
        <f aca="false">IF(OR(B265="Day",B265="Month"),TEXT(A265,"mmm yyyy"),"")</f>
        <v/>
      </c>
      <c r="H265" s="16" t="str">
        <f aca="false">IF(OR(B265="Day",B265="Month"),"Q"&amp;ROUNDUP(MONTH(A265)/3,0)&amp;" "&amp;YEAR(A265),"")</f>
        <v/>
      </c>
    </row>
    <row r="266" customFormat="false" ht="15" hidden="false" customHeight="true" outlineLevel="0" collapsed="false">
      <c r="A266" s="14" t="n">
        <v>46265</v>
      </c>
      <c r="B266" s="6" t="s">
        <v>41</v>
      </c>
      <c r="C266" s="6" t="s">
        <v>11</v>
      </c>
      <c r="D266" s="15" t="n">
        <v>285</v>
      </c>
      <c r="E266" s="6" t="s">
        <v>78</v>
      </c>
      <c r="F266" s="16" t="str">
        <f aca="false">IF(OR(B266="Day",B266="Week"),"W"&amp;TEXT(WEEKNUM(A266,21),"00"),"")</f>
        <v>W36</v>
      </c>
      <c r="G266" s="16" t="str">
        <f aca="false">IF(OR(B266="Day",B266="Month"),TEXT(A266,"mmm yyyy"),"")</f>
        <v/>
      </c>
      <c r="H266" s="16" t="str">
        <f aca="false">IF(OR(B266="Day",B266="Month"),"Q"&amp;ROUNDUP(MONTH(A266)/3,0)&amp;" "&amp;YEAR(A266),"")</f>
        <v/>
      </c>
    </row>
    <row r="267" customFormat="false" ht="15" hidden="false" customHeight="true" outlineLevel="0" collapsed="false">
      <c r="A267" s="14" t="n">
        <v>46265</v>
      </c>
      <c r="B267" s="6" t="s">
        <v>41</v>
      </c>
      <c r="C267" s="6" t="s">
        <v>15</v>
      </c>
      <c r="D267" s="15" t="n">
        <v>274</v>
      </c>
      <c r="E267" s="6" t="s">
        <v>78</v>
      </c>
      <c r="F267" s="16" t="str">
        <f aca="false">IF(OR(B267="Day",B267="Week"),"W"&amp;TEXT(WEEKNUM(A267,21),"00"),"")</f>
        <v>W36</v>
      </c>
      <c r="G267" s="16" t="str">
        <f aca="false">IF(OR(B267="Day",B267="Month"),TEXT(A267,"mmm yyyy"),"")</f>
        <v/>
      </c>
      <c r="H267" s="16" t="str">
        <f aca="false">IF(OR(B267="Day",B267="Month"),"Q"&amp;ROUNDUP(MONTH(A267)/3,0)&amp;" "&amp;YEAR(A267),"")</f>
        <v/>
      </c>
    </row>
    <row r="268" customFormat="false" ht="15" hidden="false" customHeight="true" outlineLevel="0" collapsed="false">
      <c r="A268" s="14" t="n">
        <v>46265</v>
      </c>
      <c r="B268" s="6" t="s">
        <v>41</v>
      </c>
      <c r="C268" s="6" t="s">
        <v>19</v>
      </c>
      <c r="D268" s="15" t="n">
        <v>48</v>
      </c>
      <c r="E268" s="6" t="s">
        <v>78</v>
      </c>
      <c r="F268" s="16" t="str">
        <f aca="false">IF(OR(B268="Day",B268="Week"),"W"&amp;TEXT(WEEKNUM(A268,21),"00"),"")</f>
        <v>W36</v>
      </c>
      <c r="G268" s="16" t="str">
        <f aca="false">IF(OR(B268="Day",B268="Month"),TEXT(A268,"mmm yyyy"),"")</f>
        <v/>
      </c>
      <c r="H268" s="16" t="str">
        <f aca="false">IF(OR(B268="Day",B268="Month"),"Q"&amp;ROUNDUP(MONTH(A268)/3,0)&amp;" "&amp;YEAR(A268),"")</f>
        <v/>
      </c>
    </row>
    <row r="269" customFormat="false" ht="15" hidden="false" customHeight="true" outlineLevel="0" collapsed="false">
      <c r="A269" s="14" t="n">
        <v>46265</v>
      </c>
      <c r="B269" s="6" t="s">
        <v>41</v>
      </c>
      <c r="C269" s="6" t="s">
        <v>21</v>
      </c>
      <c r="D269" s="15" t="n">
        <v>159</v>
      </c>
      <c r="E269" s="6" t="s">
        <v>78</v>
      </c>
      <c r="F269" s="16" t="str">
        <f aca="false">IF(OR(B269="Day",B269="Week"),"W"&amp;TEXT(WEEKNUM(A269,21),"00"),"")</f>
        <v>W36</v>
      </c>
      <c r="G269" s="16" t="str">
        <f aca="false">IF(OR(B269="Day",B269="Month"),TEXT(A269,"mmm yyyy"),"")</f>
        <v/>
      </c>
      <c r="H269" s="16" t="str">
        <f aca="false">IF(OR(B269="Day",B269="Month"),"Q"&amp;ROUNDUP(MONTH(A269)/3,0)&amp;" "&amp;YEAR(A269),"")</f>
        <v/>
      </c>
    </row>
    <row r="270" customFormat="false" ht="15" hidden="false" customHeight="true" outlineLevel="0" collapsed="false">
      <c r="A270" s="14" t="n">
        <v>46265</v>
      </c>
      <c r="B270" s="6" t="s">
        <v>41</v>
      </c>
      <c r="C270" s="6" t="s">
        <v>23</v>
      </c>
      <c r="D270" s="15" t="n">
        <v>17.7</v>
      </c>
      <c r="E270" s="6" t="s">
        <v>78</v>
      </c>
      <c r="F270" s="16" t="str">
        <f aca="false">IF(OR(B270="Day",B270="Week"),"W"&amp;TEXT(WEEKNUM(A270,21),"00"),"")</f>
        <v>W36</v>
      </c>
      <c r="G270" s="16" t="str">
        <f aca="false">IF(OR(B270="Day",B270="Month"),TEXT(A270,"mmm yyyy"),"")</f>
        <v/>
      </c>
      <c r="H270" s="16" t="str">
        <f aca="false">IF(OR(B270="Day",B270="Month"),"Q"&amp;ROUNDUP(MONTH(A270)/3,0)&amp;" "&amp;YEAR(A270),"")</f>
        <v/>
      </c>
    </row>
    <row r="271" customFormat="false" ht="15" hidden="false" customHeight="true" outlineLevel="0" collapsed="false">
      <c r="A271" s="14" t="n">
        <v>46265</v>
      </c>
      <c r="B271" s="6" t="s">
        <v>41</v>
      </c>
      <c r="C271" s="6" t="s">
        <v>27</v>
      </c>
      <c r="D271" s="15" t="n">
        <v>4983000</v>
      </c>
      <c r="E271" s="6" t="s">
        <v>78</v>
      </c>
      <c r="F271" s="16" t="str">
        <f aca="false">IF(OR(B271="Day",B271="Week"),"W"&amp;TEXT(WEEKNUM(A271,21),"00"),"")</f>
        <v>W36</v>
      </c>
      <c r="G271" s="16" t="str">
        <f aca="false">IF(OR(B271="Day",B271="Month"),TEXT(A271,"mmm yyyy"),"")</f>
        <v/>
      </c>
      <c r="H271" s="16" t="str">
        <f aca="false">IF(OR(B271="Day",B271="Month"),"Q"&amp;ROUNDUP(MONTH(A271)/3,0)&amp;" "&amp;YEAR(A271),"")</f>
        <v/>
      </c>
    </row>
    <row r="272" customFormat="false" ht="15" hidden="false" customHeight="true" outlineLevel="0" collapsed="false">
      <c r="A272" s="14" t="n">
        <v>46272</v>
      </c>
      <c r="B272" s="6" t="s">
        <v>41</v>
      </c>
      <c r="C272" s="6" t="s">
        <v>11</v>
      </c>
      <c r="D272" s="15" t="n">
        <v>286</v>
      </c>
      <c r="E272" s="6" t="s">
        <v>79</v>
      </c>
      <c r="F272" s="16" t="str">
        <f aca="false">IF(OR(B272="Day",B272="Week"),"W"&amp;TEXT(WEEKNUM(A272,21),"00"),"")</f>
        <v>W37</v>
      </c>
      <c r="G272" s="16" t="str">
        <f aca="false">IF(OR(B272="Day",B272="Month"),TEXT(A272,"mmm yyyy"),"")</f>
        <v/>
      </c>
      <c r="H272" s="16" t="str">
        <f aca="false">IF(OR(B272="Day",B272="Month"),"Q"&amp;ROUNDUP(MONTH(A272)/3,0)&amp;" "&amp;YEAR(A272),"")</f>
        <v/>
      </c>
    </row>
    <row r="273" customFormat="false" ht="15" hidden="false" customHeight="true" outlineLevel="0" collapsed="false">
      <c r="A273" s="14" t="n">
        <v>46272</v>
      </c>
      <c r="B273" s="6" t="s">
        <v>41</v>
      </c>
      <c r="C273" s="6" t="s">
        <v>15</v>
      </c>
      <c r="D273" s="15" t="n">
        <v>277</v>
      </c>
      <c r="E273" s="6" t="s">
        <v>79</v>
      </c>
      <c r="F273" s="16" t="str">
        <f aca="false">IF(OR(B273="Day",B273="Week"),"W"&amp;TEXT(WEEKNUM(A273,21),"00"),"")</f>
        <v>W37</v>
      </c>
      <c r="G273" s="16" t="str">
        <f aca="false">IF(OR(B273="Day",B273="Month"),TEXT(A273,"mmm yyyy"),"")</f>
        <v/>
      </c>
      <c r="H273" s="16" t="str">
        <f aca="false">IF(OR(B273="Day",B273="Month"),"Q"&amp;ROUNDUP(MONTH(A273)/3,0)&amp;" "&amp;YEAR(A273),"")</f>
        <v/>
      </c>
    </row>
    <row r="274" customFormat="false" ht="15" hidden="false" customHeight="true" outlineLevel="0" collapsed="false">
      <c r="A274" s="14" t="n">
        <v>46272</v>
      </c>
      <c r="B274" s="6" t="s">
        <v>41</v>
      </c>
      <c r="C274" s="6" t="s">
        <v>19</v>
      </c>
      <c r="D274" s="15" t="n">
        <v>50</v>
      </c>
      <c r="E274" s="6" t="s">
        <v>79</v>
      </c>
      <c r="F274" s="16" t="str">
        <f aca="false">IF(OR(B274="Day",B274="Week"),"W"&amp;TEXT(WEEKNUM(A274,21),"00"),"")</f>
        <v>W37</v>
      </c>
      <c r="G274" s="16" t="str">
        <f aca="false">IF(OR(B274="Day",B274="Month"),TEXT(A274,"mmm yyyy"),"")</f>
        <v/>
      </c>
      <c r="H274" s="16" t="str">
        <f aca="false">IF(OR(B274="Day",B274="Month"),"Q"&amp;ROUNDUP(MONTH(A274)/3,0)&amp;" "&amp;YEAR(A274),"")</f>
        <v/>
      </c>
    </row>
    <row r="275" customFormat="false" ht="15" hidden="false" customHeight="true" outlineLevel="0" collapsed="false">
      <c r="A275" s="14" t="n">
        <v>46272</v>
      </c>
      <c r="B275" s="6" t="s">
        <v>41</v>
      </c>
      <c r="C275" s="6" t="s">
        <v>21</v>
      </c>
      <c r="D275" s="15" t="n">
        <v>167</v>
      </c>
      <c r="E275" s="6" t="s">
        <v>79</v>
      </c>
      <c r="F275" s="16" t="str">
        <f aca="false">IF(OR(B275="Day",B275="Week"),"W"&amp;TEXT(WEEKNUM(A275,21),"00"),"")</f>
        <v>W37</v>
      </c>
      <c r="G275" s="16" t="str">
        <f aca="false">IF(OR(B275="Day",B275="Month"),TEXT(A275,"mmm yyyy"),"")</f>
        <v/>
      </c>
      <c r="H275" s="16" t="str">
        <f aca="false">IF(OR(B275="Day",B275="Month"),"Q"&amp;ROUNDUP(MONTH(A275)/3,0)&amp;" "&amp;YEAR(A275),"")</f>
        <v/>
      </c>
    </row>
    <row r="276" customFormat="false" ht="15" hidden="false" customHeight="true" outlineLevel="0" collapsed="false">
      <c r="A276" s="14" t="n">
        <v>46272</v>
      </c>
      <c r="B276" s="6" t="s">
        <v>41</v>
      </c>
      <c r="C276" s="6" t="s">
        <v>23</v>
      </c>
      <c r="D276" s="15" t="n">
        <v>23.6</v>
      </c>
      <c r="E276" s="6" t="s">
        <v>79</v>
      </c>
      <c r="F276" s="16" t="str">
        <f aca="false">IF(OR(B276="Day",B276="Week"),"W"&amp;TEXT(WEEKNUM(A276,21),"00"),"")</f>
        <v>W37</v>
      </c>
      <c r="G276" s="16" t="str">
        <f aca="false">IF(OR(B276="Day",B276="Month"),TEXT(A276,"mmm yyyy"),"")</f>
        <v/>
      </c>
      <c r="H276" s="16" t="str">
        <f aca="false">IF(OR(B276="Day",B276="Month"),"Q"&amp;ROUNDUP(MONTH(A276)/3,0)&amp;" "&amp;YEAR(A276),"")</f>
        <v/>
      </c>
    </row>
    <row r="277" customFormat="false" ht="15" hidden="false" customHeight="true" outlineLevel="0" collapsed="false">
      <c r="A277" s="14" t="n">
        <v>46272</v>
      </c>
      <c r="B277" s="6" t="s">
        <v>41</v>
      </c>
      <c r="C277" s="6" t="s">
        <v>27</v>
      </c>
      <c r="D277" s="15" t="n">
        <v>5012000</v>
      </c>
      <c r="E277" s="6" t="s">
        <v>79</v>
      </c>
      <c r="F277" s="16" t="str">
        <f aca="false">IF(OR(B277="Day",B277="Week"),"W"&amp;TEXT(WEEKNUM(A277,21),"00"),"")</f>
        <v>W37</v>
      </c>
      <c r="G277" s="16" t="str">
        <f aca="false">IF(OR(B277="Day",B277="Month"),TEXT(A277,"mmm yyyy"),"")</f>
        <v/>
      </c>
      <c r="H277" s="16" t="str">
        <f aca="false">IF(OR(B277="Day",B277="Month"),"Q"&amp;ROUNDUP(MONTH(A277)/3,0)&amp;" "&amp;YEAR(A277),"")</f>
        <v/>
      </c>
    </row>
    <row r="278" customFormat="false" ht="15" hidden="false" customHeight="true" outlineLevel="0" collapsed="false">
      <c r="A278" s="14" t="n">
        <v>46279</v>
      </c>
      <c r="B278" s="6" t="s">
        <v>41</v>
      </c>
      <c r="C278" s="6" t="s">
        <v>11</v>
      </c>
      <c r="D278" s="15" t="n">
        <v>317</v>
      </c>
      <c r="E278" s="6" t="s">
        <v>80</v>
      </c>
      <c r="F278" s="16" t="str">
        <f aca="false">IF(OR(B278="Day",B278="Week"),"W"&amp;TEXT(WEEKNUM(A278,21),"00"),"")</f>
        <v>W38</v>
      </c>
      <c r="G278" s="16" t="str">
        <f aca="false">IF(OR(B278="Day",B278="Month"),TEXT(A278,"mmm yyyy"),"")</f>
        <v/>
      </c>
      <c r="H278" s="16" t="str">
        <f aca="false">IF(OR(B278="Day",B278="Month"),"Q"&amp;ROUNDUP(MONTH(A278)/3,0)&amp;" "&amp;YEAR(A278),"")</f>
        <v/>
      </c>
    </row>
    <row r="279" customFormat="false" ht="15" hidden="false" customHeight="true" outlineLevel="0" collapsed="false">
      <c r="A279" s="14" t="n">
        <v>46279</v>
      </c>
      <c r="B279" s="6" t="s">
        <v>41</v>
      </c>
      <c r="C279" s="6" t="s">
        <v>15</v>
      </c>
      <c r="D279" s="15" t="n">
        <v>306</v>
      </c>
      <c r="E279" s="6" t="s">
        <v>80</v>
      </c>
      <c r="F279" s="16" t="str">
        <f aca="false">IF(OR(B279="Day",B279="Week"),"W"&amp;TEXT(WEEKNUM(A279,21),"00"),"")</f>
        <v>W38</v>
      </c>
      <c r="G279" s="16" t="str">
        <f aca="false">IF(OR(B279="Day",B279="Month"),TEXT(A279,"mmm yyyy"),"")</f>
        <v/>
      </c>
      <c r="H279" s="16" t="str">
        <f aca="false">IF(OR(B279="Day",B279="Month"),"Q"&amp;ROUNDUP(MONTH(A279)/3,0)&amp;" "&amp;YEAR(A279),"")</f>
        <v/>
      </c>
    </row>
    <row r="280" customFormat="false" ht="15" hidden="false" customHeight="true" outlineLevel="0" collapsed="false">
      <c r="A280" s="14" t="n">
        <v>46279</v>
      </c>
      <c r="B280" s="6" t="s">
        <v>41</v>
      </c>
      <c r="C280" s="6" t="s">
        <v>19</v>
      </c>
      <c r="D280" s="15" t="n">
        <v>54</v>
      </c>
      <c r="E280" s="6" t="s">
        <v>80</v>
      </c>
      <c r="F280" s="16" t="str">
        <f aca="false">IF(OR(B280="Day",B280="Week"),"W"&amp;TEXT(WEEKNUM(A280,21),"00"),"")</f>
        <v>W38</v>
      </c>
      <c r="G280" s="16" t="str">
        <f aca="false">IF(OR(B280="Day",B280="Month"),TEXT(A280,"mmm yyyy"),"")</f>
        <v/>
      </c>
      <c r="H280" s="16" t="str">
        <f aca="false">IF(OR(B280="Day",B280="Month"),"Q"&amp;ROUNDUP(MONTH(A280)/3,0)&amp;" "&amp;YEAR(A280),"")</f>
        <v/>
      </c>
    </row>
    <row r="281" customFormat="false" ht="15" hidden="false" customHeight="true" outlineLevel="0" collapsed="false">
      <c r="A281" s="14" t="n">
        <v>46279</v>
      </c>
      <c r="B281" s="6" t="s">
        <v>41</v>
      </c>
      <c r="C281" s="6" t="s">
        <v>21</v>
      </c>
      <c r="D281" s="15" t="n">
        <v>190</v>
      </c>
      <c r="E281" s="6" t="s">
        <v>80</v>
      </c>
      <c r="F281" s="16" t="str">
        <f aca="false">IF(OR(B281="Day",B281="Week"),"W"&amp;TEXT(WEEKNUM(A281,21),"00"),"")</f>
        <v>W38</v>
      </c>
      <c r="G281" s="16" t="str">
        <f aca="false">IF(OR(B281="Day",B281="Month"),TEXT(A281,"mmm yyyy"),"")</f>
        <v/>
      </c>
      <c r="H281" s="16" t="str">
        <f aca="false">IF(OR(B281="Day",B281="Month"),"Q"&amp;ROUNDUP(MONTH(A281)/3,0)&amp;" "&amp;YEAR(A281),"")</f>
        <v/>
      </c>
    </row>
    <row r="282" customFormat="false" ht="15" hidden="false" customHeight="true" outlineLevel="0" collapsed="false">
      <c r="A282" s="14" t="n">
        <v>46279</v>
      </c>
      <c r="B282" s="6" t="s">
        <v>41</v>
      </c>
      <c r="C282" s="6" t="s">
        <v>23</v>
      </c>
      <c r="D282" s="15" t="n">
        <v>25.5</v>
      </c>
      <c r="E282" s="6" t="s">
        <v>80</v>
      </c>
      <c r="F282" s="16" t="str">
        <f aca="false">IF(OR(B282="Day",B282="Week"),"W"&amp;TEXT(WEEKNUM(A282,21),"00"),"")</f>
        <v>W38</v>
      </c>
      <c r="G282" s="16" t="str">
        <f aca="false">IF(OR(B282="Day",B282="Month"),TEXT(A282,"mmm yyyy"),"")</f>
        <v/>
      </c>
      <c r="H282" s="16" t="str">
        <f aca="false">IF(OR(B282="Day",B282="Month"),"Q"&amp;ROUNDUP(MONTH(A282)/3,0)&amp;" "&amp;YEAR(A282),"")</f>
        <v/>
      </c>
    </row>
    <row r="283" customFormat="false" ht="15" hidden="false" customHeight="true" outlineLevel="0" collapsed="false">
      <c r="A283" s="14" t="n">
        <v>46279</v>
      </c>
      <c r="B283" s="6" t="s">
        <v>41</v>
      </c>
      <c r="C283" s="6" t="s">
        <v>27</v>
      </c>
      <c r="D283" s="15" t="n">
        <v>4752000</v>
      </c>
      <c r="E283" s="6" t="s">
        <v>80</v>
      </c>
      <c r="F283" s="16" t="str">
        <f aca="false">IF(OR(B283="Day",B283="Week"),"W"&amp;TEXT(WEEKNUM(A283,21),"00"),"")</f>
        <v>W38</v>
      </c>
      <c r="G283" s="16" t="str">
        <f aca="false">IF(OR(B283="Day",B283="Month"),TEXT(A283,"mmm yyyy"),"")</f>
        <v/>
      </c>
      <c r="H283" s="16" t="str">
        <f aca="false">IF(OR(B283="Day",B283="Month"),"Q"&amp;ROUNDUP(MONTH(A283)/3,0)&amp;" "&amp;YEAR(A283),"")</f>
        <v/>
      </c>
    </row>
    <row r="284" customFormat="false" ht="15" hidden="false" customHeight="true" outlineLevel="0" collapsed="false">
      <c r="A284" s="14" t="n">
        <v>46286</v>
      </c>
      <c r="B284" s="6" t="s">
        <v>41</v>
      </c>
      <c r="C284" s="6" t="s">
        <v>11</v>
      </c>
      <c r="D284" s="15" t="n">
        <v>315</v>
      </c>
      <c r="E284" s="6" t="s">
        <v>81</v>
      </c>
      <c r="F284" s="16" t="str">
        <f aca="false">IF(OR(B284="Day",B284="Week"),"W"&amp;TEXT(WEEKNUM(A284,21),"00"),"")</f>
        <v>W39</v>
      </c>
      <c r="G284" s="16" t="str">
        <f aca="false">IF(OR(B284="Day",B284="Month"),TEXT(A284,"mmm yyyy"),"")</f>
        <v/>
      </c>
      <c r="H284" s="16" t="str">
        <f aca="false">IF(OR(B284="Day",B284="Month"),"Q"&amp;ROUNDUP(MONTH(A284)/3,0)&amp;" "&amp;YEAR(A284),"")</f>
        <v/>
      </c>
    </row>
    <row r="285" customFormat="false" ht="15" hidden="false" customHeight="true" outlineLevel="0" collapsed="false">
      <c r="A285" s="14" t="n">
        <v>46286</v>
      </c>
      <c r="B285" s="6" t="s">
        <v>41</v>
      </c>
      <c r="C285" s="6" t="s">
        <v>15</v>
      </c>
      <c r="D285" s="15" t="n">
        <v>307</v>
      </c>
      <c r="E285" s="6" t="s">
        <v>81</v>
      </c>
      <c r="F285" s="16" t="str">
        <f aca="false">IF(OR(B285="Day",B285="Week"),"W"&amp;TEXT(WEEKNUM(A285,21),"00"),"")</f>
        <v>W39</v>
      </c>
      <c r="G285" s="16" t="str">
        <f aca="false">IF(OR(B285="Day",B285="Month"),TEXT(A285,"mmm yyyy"),"")</f>
        <v/>
      </c>
      <c r="H285" s="16" t="str">
        <f aca="false">IF(OR(B285="Day",B285="Month"),"Q"&amp;ROUNDUP(MONTH(A285)/3,0)&amp;" "&amp;YEAR(A285),"")</f>
        <v/>
      </c>
    </row>
    <row r="286" customFormat="false" ht="15" hidden="false" customHeight="true" outlineLevel="0" collapsed="false">
      <c r="A286" s="14" t="n">
        <v>46286</v>
      </c>
      <c r="B286" s="6" t="s">
        <v>41</v>
      </c>
      <c r="C286" s="6" t="s">
        <v>19</v>
      </c>
      <c r="D286" s="15" t="n">
        <v>56</v>
      </c>
      <c r="E286" s="6" t="s">
        <v>81</v>
      </c>
      <c r="F286" s="16" t="str">
        <f aca="false">IF(OR(B286="Day",B286="Week"),"W"&amp;TEXT(WEEKNUM(A286,21),"00"),"")</f>
        <v>W39</v>
      </c>
      <c r="G286" s="16" t="str">
        <f aca="false">IF(OR(B286="Day",B286="Month"),TEXT(A286,"mmm yyyy"),"")</f>
        <v/>
      </c>
      <c r="H286" s="16" t="str">
        <f aca="false">IF(OR(B286="Day",B286="Month"),"Q"&amp;ROUNDUP(MONTH(A286)/3,0)&amp;" "&amp;YEAR(A286),"")</f>
        <v/>
      </c>
    </row>
    <row r="287" customFormat="false" ht="15" hidden="false" customHeight="true" outlineLevel="0" collapsed="false">
      <c r="A287" s="14" t="n">
        <v>46286</v>
      </c>
      <c r="B287" s="6" t="s">
        <v>41</v>
      </c>
      <c r="C287" s="6" t="s">
        <v>21</v>
      </c>
      <c r="D287" s="15" t="n">
        <v>173</v>
      </c>
      <c r="E287" s="6" t="s">
        <v>81</v>
      </c>
      <c r="F287" s="16" t="str">
        <f aca="false">IF(OR(B287="Day",B287="Week"),"W"&amp;TEXT(WEEKNUM(A287,21),"00"),"")</f>
        <v>W39</v>
      </c>
      <c r="G287" s="16" t="str">
        <f aca="false">IF(OR(B287="Day",B287="Month"),TEXT(A287,"mmm yyyy"),"")</f>
        <v/>
      </c>
      <c r="H287" s="16" t="str">
        <f aca="false">IF(OR(B287="Day",B287="Month"),"Q"&amp;ROUNDUP(MONTH(A287)/3,0)&amp;" "&amp;YEAR(A287),"")</f>
        <v/>
      </c>
    </row>
    <row r="288" customFormat="false" ht="15" hidden="false" customHeight="true" outlineLevel="0" collapsed="false">
      <c r="A288" s="14" t="n">
        <v>46286</v>
      </c>
      <c r="B288" s="6" t="s">
        <v>41</v>
      </c>
      <c r="C288" s="6" t="s">
        <v>23</v>
      </c>
      <c r="D288" s="15" t="n">
        <v>22.9</v>
      </c>
      <c r="E288" s="6" t="s">
        <v>81</v>
      </c>
      <c r="F288" s="16" t="str">
        <f aca="false">IF(OR(B288="Day",B288="Week"),"W"&amp;TEXT(WEEKNUM(A288,21),"00"),"")</f>
        <v>W39</v>
      </c>
      <c r="G288" s="16" t="str">
        <f aca="false">IF(OR(B288="Day",B288="Month"),TEXT(A288,"mmm yyyy"),"")</f>
        <v/>
      </c>
      <c r="H288" s="16" t="str">
        <f aca="false">IF(OR(B288="Day",B288="Month"),"Q"&amp;ROUNDUP(MONTH(A288)/3,0)&amp;" "&amp;YEAR(A288),"")</f>
        <v/>
      </c>
    </row>
    <row r="289" customFormat="false" ht="15" hidden="false" customHeight="true" outlineLevel="0" collapsed="false">
      <c r="A289" s="14" t="n">
        <v>46286</v>
      </c>
      <c r="B289" s="6" t="s">
        <v>41</v>
      </c>
      <c r="C289" s="6" t="s">
        <v>27</v>
      </c>
      <c r="D289" s="15" t="n">
        <v>5246000</v>
      </c>
      <c r="E289" s="6" t="s">
        <v>81</v>
      </c>
      <c r="F289" s="16" t="str">
        <f aca="false">IF(OR(B289="Day",B289="Week"),"W"&amp;TEXT(WEEKNUM(A289,21),"00"),"")</f>
        <v>W39</v>
      </c>
      <c r="G289" s="16" t="str">
        <f aca="false">IF(OR(B289="Day",B289="Month"),TEXT(A289,"mmm yyyy"),"")</f>
        <v/>
      </c>
      <c r="H289" s="16" t="str">
        <f aca="false">IF(OR(B289="Day",B289="Month"),"Q"&amp;ROUNDUP(MONTH(A289)/3,0)&amp;" "&amp;YEAR(A289),"")</f>
        <v/>
      </c>
    </row>
    <row r="290" customFormat="false" ht="15" hidden="false" customHeight="true" outlineLevel="0" collapsed="false">
      <c r="A290" s="14" t="n">
        <v>46296</v>
      </c>
      <c r="B290" s="6" t="s">
        <v>82</v>
      </c>
      <c r="C290" s="6" t="s">
        <v>11</v>
      </c>
      <c r="D290" s="15" t="n">
        <v>62</v>
      </c>
      <c r="E290" s="6"/>
      <c r="F290" s="16" t="str">
        <f aca="false">IF(OR(B290="Day",B290="Week"),"W"&amp;TEXT(WEEKNUM(A290,21),"00"),"")</f>
        <v>W40</v>
      </c>
      <c r="G290" s="16" t="str">
        <f aca="false">IF(OR(B290="Day",B290="Month"),TEXT(A290,"mmm yyyy"),"")</f>
        <v>Oct 2026</v>
      </c>
      <c r="H290" s="16" t="str">
        <f aca="false">IF(OR(B290="Day",B290="Month"),"Q"&amp;ROUNDUP(MONTH(A290)/3,0)&amp;" "&amp;YEAR(A290),"")</f>
        <v>Q4 2026</v>
      </c>
    </row>
    <row r="291" customFormat="false" ht="15" hidden="false" customHeight="true" outlineLevel="0" collapsed="false">
      <c r="A291" s="14" t="n">
        <v>46296</v>
      </c>
      <c r="B291" s="6" t="s">
        <v>82</v>
      </c>
      <c r="C291" s="6" t="s">
        <v>15</v>
      </c>
      <c r="D291" s="15" t="n">
        <v>60</v>
      </c>
      <c r="E291" s="6"/>
      <c r="F291" s="16" t="str">
        <f aca="false">IF(OR(B291="Day",B291="Week"),"W"&amp;TEXT(WEEKNUM(A291,21),"00"),"")</f>
        <v>W40</v>
      </c>
      <c r="G291" s="16" t="str">
        <f aca="false">IF(OR(B291="Day",B291="Month"),TEXT(A291,"mmm yyyy"),"")</f>
        <v>Oct 2026</v>
      </c>
      <c r="H291" s="16" t="str">
        <f aca="false">IF(OR(B291="Day",B291="Month"),"Q"&amp;ROUNDUP(MONTH(A291)/3,0)&amp;" "&amp;YEAR(A291),"")</f>
        <v>Q4 2026</v>
      </c>
    </row>
    <row r="292" customFormat="false" ht="15" hidden="false" customHeight="true" outlineLevel="0" collapsed="false">
      <c r="A292" s="14" t="n">
        <v>46296</v>
      </c>
      <c r="B292" s="6" t="s">
        <v>82</v>
      </c>
      <c r="C292" s="6" t="s">
        <v>19</v>
      </c>
      <c r="D292" s="15" t="n">
        <v>10</v>
      </c>
      <c r="E292" s="6"/>
      <c r="F292" s="16" t="str">
        <f aca="false">IF(OR(B292="Day",B292="Week"),"W"&amp;TEXT(WEEKNUM(A292,21),"00"),"")</f>
        <v>W40</v>
      </c>
      <c r="G292" s="16" t="str">
        <f aca="false">IF(OR(B292="Day",B292="Month"),TEXT(A292,"mmm yyyy"),"")</f>
        <v>Oct 2026</v>
      </c>
      <c r="H292" s="16" t="str">
        <f aca="false">IF(OR(B292="Day",B292="Month"),"Q"&amp;ROUNDUP(MONTH(A292)/3,0)&amp;" "&amp;YEAR(A292),"")</f>
        <v>Q4 2026</v>
      </c>
    </row>
    <row r="293" customFormat="false" ht="15" hidden="false" customHeight="true" outlineLevel="0" collapsed="false">
      <c r="A293" s="14" t="n">
        <v>46296</v>
      </c>
      <c r="B293" s="6" t="s">
        <v>82</v>
      </c>
      <c r="C293" s="6" t="s">
        <v>21</v>
      </c>
      <c r="D293" s="15" t="n">
        <v>38</v>
      </c>
      <c r="E293" s="6"/>
      <c r="F293" s="16" t="str">
        <f aca="false">IF(OR(B293="Day",B293="Week"),"W"&amp;TEXT(WEEKNUM(A293,21),"00"),"")</f>
        <v>W40</v>
      </c>
      <c r="G293" s="16" t="str">
        <f aca="false">IF(OR(B293="Day",B293="Month"),TEXT(A293,"mmm yyyy"),"")</f>
        <v>Oct 2026</v>
      </c>
      <c r="H293" s="16" t="str">
        <f aca="false">IF(OR(B293="Day",B293="Month"),"Q"&amp;ROUNDUP(MONTH(A293)/3,0)&amp;" "&amp;YEAR(A293),"")</f>
        <v>Q4 2026</v>
      </c>
    </row>
    <row r="294" customFormat="false" ht="15" hidden="false" customHeight="true" outlineLevel="0" collapsed="false">
      <c r="A294" s="14" t="n">
        <v>46296</v>
      </c>
      <c r="B294" s="6" t="s">
        <v>82</v>
      </c>
      <c r="C294" s="6" t="s">
        <v>23</v>
      </c>
      <c r="D294" s="15" t="n">
        <v>25.5</v>
      </c>
      <c r="E294" s="6"/>
      <c r="F294" s="16" t="str">
        <f aca="false">IF(OR(B294="Day",B294="Week"),"W"&amp;TEXT(WEEKNUM(A294,21),"00"),"")</f>
        <v>W40</v>
      </c>
      <c r="G294" s="16" t="str">
        <f aca="false">IF(OR(B294="Day",B294="Month"),TEXT(A294,"mmm yyyy"),"")</f>
        <v>Oct 2026</v>
      </c>
      <c r="H294" s="16" t="str">
        <f aca="false">IF(OR(B294="Day",B294="Month"),"Q"&amp;ROUNDUP(MONTH(A294)/3,0)&amp;" "&amp;YEAR(A294),"")</f>
        <v>Q4 2026</v>
      </c>
    </row>
    <row r="295" customFormat="false" ht="15" hidden="false" customHeight="true" outlineLevel="0" collapsed="false">
      <c r="A295" s="14" t="n">
        <v>46296</v>
      </c>
      <c r="B295" s="6" t="s">
        <v>82</v>
      </c>
      <c r="C295" s="6" t="s">
        <v>27</v>
      </c>
      <c r="D295" s="15" t="n">
        <v>4978000</v>
      </c>
      <c r="E295" s="6"/>
      <c r="F295" s="16" t="str">
        <f aca="false">IF(OR(B295="Day",B295="Week"),"W"&amp;TEXT(WEEKNUM(A295,21),"00"),"")</f>
        <v>W40</v>
      </c>
      <c r="G295" s="16" t="str">
        <f aca="false">IF(OR(B295="Day",B295="Month"),TEXT(A295,"mmm yyyy"),"")</f>
        <v>Oct 2026</v>
      </c>
      <c r="H295" s="16" t="str">
        <f aca="false">IF(OR(B295="Day",B295="Month"),"Q"&amp;ROUNDUP(MONTH(A295)/3,0)&amp;" "&amp;YEAR(A295),"")</f>
        <v>Q4 2026</v>
      </c>
    </row>
    <row r="296" customFormat="false" ht="15" hidden="false" customHeight="true" outlineLevel="0" collapsed="false">
      <c r="A296" s="14" t="n">
        <v>46297</v>
      </c>
      <c r="B296" s="6" t="s">
        <v>82</v>
      </c>
      <c r="C296" s="6" t="s">
        <v>11</v>
      </c>
      <c r="D296" s="15" t="n">
        <v>63</v>
      </c>
      <c r="E296" s="6"/>
      <c r="F296" s="16" t="str">
        <f aca="false">IF(OR(B296="Day",B296="Week"),"W"&amp;TEXT(WEEKNUM(A296,21),"00"),"")</f>
        <v>W40</v>
      </c>
      <c r="G296" s="16" t="str">
        <f aca="false">IF(OR(B296="Day",B296="Month"),TEXT(A296,"mmm yyyy"),"")</f>
        <v>Oct 2026</v>
      </c>
      <c r="H296" s="16" t="str">
        <f aca="false">IF(OR(B296="Day",B296="Month"),"Q"&amp;ROUNDUP(MONTH(A296)/3,0)&amp;" "&amp;YEAR(A296),"")</f>
        <v>Q4 2026</v>
      </c>
    </row>
    <row r="297" customFormat="false" ht="15" hidden="false" customHeight="true" outlineLevel="0" collapsed="false">
      <c r="A297" s="14" t="n">
        <v>46297</v>
      </c>
      <c r="B297" s="6" t="s">
        <v>82</v>
      </c>
      <c r="C297" s="6" t="s">
        <v>15</v>
      </c>
      <c r="D297" s="15" t="n">
        <v>60</v>
      </c>
      <c r="E297" s="6"/>
      <c r="F297" s="16" t="str">
        <f aca="false">IF(OR(B297="Day",B297="Week"),"W"&amp;TEXT(WEEKNUM(A297,21),"00"),"")</f>
        <v>W40</v>
      </c>
      <c r="G297" s="16" t="str">
        <f aca="false">IF(OR(B297="Day",B297="Month"),TEXT(A297,"mmm yyyy"),"")</f>
        <v>Oct 2026</v>
      </c>
      <c r="H297" s="16" t="str">
        <f aca="false">IF(OR(B297="Day",B297="Month"),"Q"&amp;ROUNDUP(MONTH(A297)/3,0)&amp;" "&amp;YEAR(A297),"")</f>
        <v>Q4 2026</v>
      </c>
    </row>
    <row r="298" customFormat="false" ht="15" hidden="false" customHeight="true" outlineLevel="0" collapsed="false">
      <c r="A298" s="14" t="n">
        <v>46297</v>
      </c>
      <c r="B298" s="6" t="s">
        <v>82</v>
      </c>
      <c r="C298" s="6" t="s">
        <v>19</v>
      </c>
      <c r="D298" s="15" t="n">
        <v>10</v>
      </c>
      <c r="E298" s="6"/>
      <c r="F298" s="16" t="str">
        <f aca="false">IF(OR(B298="Day",B298="Week"),"W"&amp;TEXT(WEEKNUM(A298,21),"00"),"")</f>
        <v>W40</v>
      </c>
      <c r="G298" s="16" t="str">
        <f aca="false">IF(OR(B298="Day",B298="Month"),TEXT(A298,"mmm yyyy"),"")</f>
        <v>Oct 2026</v>
      </c>
      <c r="H298" s="16" t="str">
        <f aca="false">IF(OR(B298="Day",B298="Month"),"Q"&amp;ROUNDUP(MONTH(A298)/3,0)&amp;" "&amp;YEAR(A298),"")</f>
        <v>Q4 2026</v>
      </c>
    </row>
    <row r="299" customFormat="false" ht="15" hidden="false" customHeight="true" outlineLevel="0" collapsed="false">
      <c r="A299" s="14" t="n">
        <v>46297</v>
      </c>
      <c r="B299" s="6" t="s">
        <v>82</v>
      </c>
      <c r="C299" s="6" t="s">
        <v>21</v>
      </c>
      <c r="D299" s="15" t="n">
        <v>36</v>
      </c>
      <c r="E299" s="6"/>
      <c r="F299" s="16" t="str">
        <f aca="false">IF(OR(B299="Day",B299="Week"),"W"&amp;TEXT(WEEKNUM(A299,21),"00"),"")</f>
        <v>W40</v>
      </c>
      <c r="G299" s="16" t="str">
        <f aca="false">IF(OR(B299="Day",B299="Month"),TEXT(A299,"mmm yyyy"),"")</f>
        <v>Oct 2026</v>
      </c>
      <c r="H299" s="16" t="str">
        <f aca="false">IF(OR(B299="Day",B299="Month"),"Q"&amp;ROUNDUP(MONTH(A299)/3,0)&amp;" "&amp;YEAR(A299),"")</f>
        <v>Q4 2026</v>
      </c>
    </row>
    <row r="300" customFormat="false" ht="15" hidden="false" customHeight="true" outlineLevel="0" collapsed="false">
      <c r="A300" s="14" t="n">
        <v>46297</v>
      </c>
      <c r="B300" s="6" t="s">
        <v>82</v>
      </c>
      <c r="C300" s="6" t="s">
        <v>23</v>
      </c>
      <c r="D300" s="15" t="n">
        <v>23.5</v>
      </c>
      <c r="E300" s="6"/>
      <c r="F300" s="16" t="str">
        <f aca="false">IF(OR(B300="Day",B300="Week"),"W"&amp;TEXT(WEEKNUM(A300,21),"00"),"")</f>
        <v>W40</v>
      </c>
      <c r="G300" s="16" t="str">
        <f aca="false">IF(OR(B300="Day",B300="Month"),TEXT(A300,"mmm yyyy"),"")</f>
        <v>Oct 2026</v>
      </c>
      <c r="H300" s="16" t="str">
        <f aca="false">IF(OR(B300="Day",B300="Month"),"Q"&amp;ROUNDUP(MONTH(A300)/3,0)&amp;" "&amp;YEAR(A300),"")</f>
        <v>Q4 2026</v>
      </c>
    </row>
    <row r="301" customFormat="false" ht="15" hidden="false" customHeight="true" outlineLevel="0" collapsed="false">
      <c r="A301" s="14" t="n">
        <v>46297</v>
      </c>
      <c r="B301" s="6" t="s">
        <v>82</v>
      </c>
      <c r="C301" s="6" t="s">
        <v>27</v>
      </c>
      <c r="D301" s="15" t="n">
        <v>4828000</v>
      </c>
      <c r="E301" s="6"/>
      <c r="F301" s="16" t="str">
        <f aca="false">IF(OR(B301="Day",B301="Week"),"W"&amp;TEXT(WEEKNUM(A301,21),"00"),"")</f>
        <v>W40</v>
      </c>
      <c r="G301" s="16" t="str">
        <f aca="false">IF(OR(B301="Day",B301="Month"),TEXT(A301,"mmm yyyy"),"")</f>
        <v>Oct 2026</v>
      </c>
      <c r="H301" s="16" t="str">
        <f aca="false">IF(OR(B301="Day",B301="Month"),"Q"&amp;ROUNDUP(MONTH(A301)/3,0)&amp;" "&amp;YEAR(A301),"")</f>
        <v>Q4 2026</v>
      </c>
    </row>
    <row r="302" customFormat="false" ht="15" hidden="false" customHeight="true" outlineLevel="0" collapsed="false">
      <c r="A302" s="14" t="n">
        <v>46300</v>
      </c>
      <c r="B302" s="6" t="s">
        <v>82</v>
      </c>
      <c r="C302" s="6" t="s">
        <v>11</v>
      </c>
      <c r="D302" s="15" t="n">
        <v>66</v>
      </c>
      <c r="E302" s="6"/>
      <c r="F302" s="16" t="str">
        <f aca="false">IF(OR(B302="Day",B302="Week"),"W"&amp;TEXT(WEEKNUM(A302,21),"00"),"")</f>
        <v>W41</v>
      </c>
      <c r="G302" s="16" t="str">
        <f aca="false">IF(OR(B302="Day",B302="Month"),TEXT(A302,"mmm yyyy"),"")</f>
        <v>Oct 2026</v>
      </c>
      <c r="H302" s="16" t="str">
        <f aca="false">IF(OR(B302="Day",B302="Month"),"Q"&amp;ROUNDUP(MONTH(A302)/3,0)&amp;" "&amp;YEAR(A302),"")</f>
        <v>Q4 2026</v>
      </c>
    </row>
    <row r="303" customFormat="false" ht="15" hidden="false" customHeight="true" outlineLevel="0" collapsed="false">
      <c r="A303" s="14" t="n">
        <v>46300</v>
      </c>
      <c r="B303" s="6" t="s">
        <v>82</v>
      </c>
      <c r="C303" s="6" t="s">
        <v>15</v>
      </c>
      <c r="D303" s="15" t="n">
        <v>65</v>
      </c>
      <c r="E303" s="6"/>
      <c r="F303" s="16" t="str">
        <f aca="false">IF(OR(B303="Day",B303="Week"),"W"&amp;TEXT(WEEKNUM(A303,21),"00"),"")</f>
        <v>W41</v>
      </c>
      <c r="G303" s="16" t="str">
        <f aca="false">IF(OR(B303="Day",B303="Month"),TEXT(A303,"mmm yyyy"),"")</f>
        <v>Oct 2026</v>
      </c>
      <c r="H303" s="16" t="str">
        <f aca="false">IF(OR(B303="Day",B303="Month"),"Q"&amp;ROUNDUP(MONTH(A303)/3,0)&amp;" "&amp;YEAR(A303),"")</f>
        <v>Q4 2026</v>
      </c>
    </row>
    <row r="304" customFormat="false" ht="15" hidden="false" customHeight="true" outlineLevel="0" collapsed="false">
      <c r="A304" s="14" t="n">
        <v>46300</v>
      </c>
      <c r="B304" s="6" t="s">
        <v>82</v>
      </c>
      <c r="C304" s="6" t="s">
        <v>19</v>
      </c>
      <c r="D304" s="15" t="n">
        <v>11</v>
      </c>
      <c r="E304" s="6"/>
      <c r="F304" s="16" t="str">
        <f aca="false">IF(OR(B304="Day",B304="Week"),"W"&amp;TEXT(WEEKNUM(A304,21),"00"),"")</f>
        <v>W41</v>
      </c>
      <c r="G304" s="16" t="str">
        <f aca="false">IF(OR(B304="Day",B304="Month"),TEXT(A304,"mmm yyyy"),"")</f>
        <v>Oct 2026</v>
      </c>
      <c r="H304" s="16" t="str">
        <f aca="false">IF(OR(B304="Day",B304="Month"),"Q"&amp;ROUNDUP(MONTH(A304)/3,0)&amp;" "&amp;YEAR(A304),"")</f>
        <v>Q4 2026</v>
      </c>
    </row>
    <row r="305" customFormat="false" ht="15" hidden="false" customHeight="true" outlineLevel="0" collapsed="false">
      <c r="A305" s="14" t="n">
        <v>46300</v>
      </c>
      <c r="B305" s="6" t="s">
        <v>82</v>
      </c>
      <c r="C305" s="6" t="s">
        <v>21</v>
      </c>
      <c r="D305" s="15" t="n">
        <v>38</v>
      </c>
      <c r="E305" s="6"/>
      <c r="F305" s="16" t="str">
        <f aca="false">IF(OR(B305="Day",B305="Week"),"W"&amp;TEXT(WEEKNUM(A305,21),"00"),"")</f>
        <v>W41</v>
      </c>
      <c r="G305" s="16" t="str">
        <f aca="false">IF(OR(B305="Day",B305="Month"),TEXT(A305,"mmm yyyy"),"")</f>
        <v>Oct 2026</v>
      </c>
      <c r="H305" s="16" t="str">
        <f aca="false">IF(OR(B305="Day",B305="Month"),"Q"&amp;ROUNDUP(MONTH(A305)/3,0)&amp;" "&amp;YEAR(A305),"")</f>
        <v>Q4 2026</v>
      </c>
    </row>
    <row r="306" customFormat="false" ht="15" hidden="false" customHeight="true" outlineLevel="0" collapsed="false">
      <c r="A306" s="14" t="n">
        <v>46300</v>
      </c>
      <c r="B306" s="6" t="s">
        <v>82</v>
      </c>
      <c r="C306" s="6" t="s">
        <v>23</v>
      </c>
      <c r="D306" s="15" t="n">
        <v>19.9</v>
      </c>
      <c r="E306" s="6"/>
      <c r="F306" s="16" t="str">
        <f aca="false">IF(OR(B306="Day",B306="Week"),"W"&amp;TEXT(WEEKNUM(A306,21),"00"),"")</f>
        <v>W41</v>
      </c>
      <c r="G306" s="16" t="str">
        <f aca="false">IF(OR(B306="Day",B306="Month"),TEXT(A306,"mmm yyyy"),"")</f>
        <v>Oct 2026</v>
      </c>
      <c r="H306" s="16" t="str">
        <f aca="false">IF(OR(B306="Day",B306="Month"),"Q"&amp;ROUNDUP(MONTH(A306)/3,0)&amp;" "&amp;YEAR(A306),"")</f>
        <v>Q4 2026</v>
      </c>
    </row>
    <row r="307" customFormat="false" ht="15" hidden="false" customHeight="true" outlineLevel="0" collapsed="false">
      <c r="A307" s="14" t="n">
        <v>46300</v>
      </c>
      <c r="B307" s="6" t="s">
        <v>82</v>
      </c>
      <c r="C307" s="6" t="s">
        <v>27</v>
      </c>
      <c r="D307" s="15" t="n">
        <v>5246000</v>
      </c>
      <c r="E307" s="6"/>
      <c r="F307" s="16" t="str">
        <f aca="false">IF(OR(B307="Day",B307="Week"),"W"&amp;TEXT(WEEKNUM(A307,21),"00"),"")</f>
        <v>W41</v>
      </c>
      <c r="G307" s="16" t="str">
        <f aca="false">IF(OR(B307="Day",B307="Month"),TEXT(A307,"mmm yyyy"),"")</f>
        <v>Oct 2026</v>
      </c>
      <c r="H307" s="16" t="str">
        <f aca="false">IF(OR(B307="Day",B307="Month"),"Q"&amp;ROUNDUP(MONTH(A307)/3,0)&amp;" "&amp;YEAR(A307),"")</f>
        <v>Q4 2026</v>
      </c>
    </row>
    <row r="308" customFormat="false" ht="15" hidden="false" customHeight="true" outlineLevel="0" collapsed="false">
      <c r="A308" s="14" t="n">
        <v>46301</v>
      </c>
      <c r="B308" s="6" t="s">
        <v>82</v>
      </c>
      <c r="C308" s="6" t="s">
        <v>11</v>
      </c>
      <c r="D308" s="15" t="n">
        <v>57</v>
      </c>
      <c r="E308" s="6"/>
      <c r="F308" s="16" t="str">
        <f aca="false">IF(OR(B308="Day",B308="Week"),"W"&amp;TEXT(WEEKNUM(A308,21),"00"),"")</f>
        <v>W41</v>
      </c>
      <c r="G308" s="16" t="str">
        <f aca="false">IF(OR(B308="Day",B308="Month"),TEXT(A308,"mmm yyyy"),"")</f>
        <v>Oct 2026</v>
      </c>
      <c r="H308" s="16" t="str">
        <f aca="false">IF(OR(B308="Day",B308="Month"),"Q"&amp;ROUNDUP(MONTH(A308)/3,0)&amp;" "&amp;YEAR(A308),"")</f>
        <v>Q4 2026</v>
      </c>
    </row>
    <row r="309" customFormat="false" ht="15" hidden="false" customHeight="true" outlineLevel="0" collapsed="false">
      <c r="A309" s="14" t="n">
        <v>46301</v>
      </c>
      <c r="B309" s="6" t="s">
        <v>82</v>
      </c>
      <c r="C309" s="6" t="s">
        <v>15</v>
      </c>
      <c r="D309" s="15" t="n">
        <v>55</v>
      </c>
      <c r="E309" s="6" t="s">
        <v>83</v>
      </c>
      <c r="F309" s="16" t="str">
        <f aca="false">IF(OR(B309="Day",B309="Week"),"W"&amp;TEXT(WEEKNUM(A309,21),"00"),"")</f>
        <v>W41</v>
      </c>
      <c r="G309" s="16" t="str">
        <f aca="false">IF(OR(B309="Day",B309="Month"),TEXT(A309,"mmm yyyy"),"")</f>
        <v>Oct 2026</v>
      </c>
      <c r="H309" s="16" t="str">
        <f aca="false">IF(OR(B309="Day",B309="Month"),"Q"&amp;ROUNDUP(MONTH(A309)/3,0)&amp;" "&amp;YEAR(A309),"")</f>
        <v>Q4 2026</v>
      </c>
    </row>
    <row r="310" customFormat="false" ht="15" hidden="false" customHeight="true" outlineLevel="0" collapsed="false">
      <c r="A310" s="14" t="n">
        <v>46301</v>
      </c>
      <c r="B310" s="6" t="s">
        <v>82</v>
      </c>
      <c r="C310" s="6" t="s">
        <v>19</v>
      </c>
      <c r="D310" s="15" t="n">
        <v>10</v>
      </c>
      <c r="E310" s="6"/>
      <c r="F310" s="16" t="str">
        <f aca="false">IF(OR(B310="Day",B310="Week"),"W"&amp;TEXT(WEEKNUM(A310,21),"00"),"")</f>
        <v>W41</v>
      </c>
      <c r="G310" s="16" t="str">
        <f aca="false">IF(OR(B310="Day",B310="Month"),TEXT(A310,"mmm yyyy"),"")</f>
        <v>Oct 2026</v>
      </c>
      <c r="H310" s="16" t="str">
        <f aca="false">IF(OR(B310="Day",B310="Month"),"Q"&amp;ROUNDUP(MONTH(A310)/3,0)&amp;" "&amp;YEAR(A310),"")</f>
        <v>Q4 2026</v>
      </c>
    </row>
    <row r="311" customFormat="false" ht="15" hidden="false" customHeight="true" outlineLevel="0" collapsed="false">
      <c r="A311" s="14" t="n">
        <v>46301</v>
      </c>
      <c r="B311" s="6" t="s">
        <v>82</v>
      </c>
      <c r="C311" s="6" t="s">
        <v>21</v>
      </c>
      <c r="D311" s="15" t="n">
        <v>36</v>
      </c>
      <c r="E311" s="6"/>
      <c r="F311" s="16" t="str">
        <f aca="false">IF(OR(B311="Day",B311="Week"),"W"&amp;TEXT(WEEKNUM(A311,21),"00"),"")</f>
        <v>W41</v>
      </c>
      <c r="G311" s="16" t="str">
        <f aca="false">IF(OR(B311="Day",B311="Month"),TEXT(A311,"mmm yyyy"),"")</f>
        <v>Oct 2026</v>
      </c>
      <c r="H311" s="16" t="str">
        <f aca="false">IF(OR(B311="Day",B311="Month"),"Q"&amp;ROUNDUP(MONTH(A311)/3,0)&amp;" "&amp;YEAR(A311),"")</f>
        <v>Q4 2026</v>
      </c>
    </row>
    <row r="312" customFormat="false" ht="15" hidden="false" customHeight="true" outlineLevel="0" collapsed="false">
      <c r="A312" s="14" t="n">
        <v>46301</v>
      </c>
      <c r="B312" s="6" t="s">
        <v>82</v>
      </c>
      <c r="C312" s="6" t="s">
        <v>23</v>
      </c>
      <c r="D312" s="15" t="n">
        <v>23.9</v>
      </c>
      <c r="E312" s="6"/>
      <c r="F312" s="16" t="str">
        <f aca="false">IF(OR(B312="Day",B312="Week"),"W"&amp;TEXT(WEEKNUM(A312,21),"00"),"")</f>
        <v>W41</v>
      </c>
      <c r="G312" s="16" t="str">
        <f aca="false">IF(OR(B312="Day",B312="Month"),TEXT(A312,"mmm yyyy"),"")</f>
        <v>Oct 2026</v>
      </c>
      <c r="H312" s="16" t="str">
        <f aca="false">IF(OR(B312="Day",B312="Month"),"Q"&amp;ROUNDUP(MONTH(A312)/3,0)&amp;" "&amp;YEAR(A312),"")</f>
        <v>Q4 2026</v>
      </c>
    </row>
    <row r="313" customFormat="false" ht="15" hidden="false" customHeight="true" outlineLevel="0" collapsed="false">
      <c r="A313" s="14" t="n">
        <v>46301</v>
      </c>
      <c r="B313" s="6" t="s">
        <v>82</v>
      </c>
      <c r="C313" s="6" t="s">
        <v>27</v>
      </c>
      <c r="D313" s="15" t="n">
        <v>4992000</v>
      </c>
      <c r="E313" s="6"/>
      <c r="F313" s="16" t="str">
        <f aca="false">IF(OR(B313="Day",B313="Week"),"W"&amp;TEXT(WEEKNUM(A313,21),"00"),"")</f>
        <v>W41</v>
      </c>
      <c r="G313" s="16" t="str">
        <f aca="false">IF(OR(B313="Day",B313="Month"),TEXT(A313,"mmm yyyy"),"")</f>
        <v>Oct 2026</v>
      </c>
      <c r="H313" s="16" t="str">
        <f aca="false">IF(OR(B313="Day",B313="Month"),"Q"&amp;ROUNDUP(MONTH(A313)/3,0)&amp;" "&amp;YEAR(A313),"")</f>
        <v>Q4 2026</v>
      </c>
    </row>
    <row r="314" customFormat="false" ht="15" hidden="false" customHeight="true" outlineLevel="0" collapsed="false">
      <c r="A314" s="14" t="n">
        <v>46302</v>
      </c>
      <c r="B314" s="6" t="s">
        <v>82</v>
      </c>
      <c r="C314" s="6" t="s">
        <v>11</v>
      </c>
      <c r="D314" s="15" t="n">
        <v>56</v>
      </c>
      <c r="E314" s="6"/>
      <c r="F314" s="16" t="str">
        <f aca="false">IF(OR(B314="Day",B314="Week"),"W"&amp;TEXT(WEEKNUM(A314,21),"00"),"")</f>
        <v>W41</v>
      </c>
      <c r="G314" s="16" t="str">
        <f aca="false">IF(OR(B314="Day",B314="Month"),TEXT(A314,"mmm yyyy"),"")</f>
        <v>Oct 2026</v>
      </c>
      <c r="H314" s="16" t="str">
        <f aca="false">IF(OR(B314="Day",B314="Month"),"Q"&amp;ROUNDUP(MONTH(A314)/3,0)&amp;" "&amp;YEAR(A314),"")</f>
        <v>Q4 2026</v>
      </c>
    </row>
    <row r="315" customFormat="false" ht="15" hidden="false" customHeight="true" outlineLevel="0" collapsed="false">
      <c r="A315" s="14" t="n">
        <v>46302</v>
      </c>
      <c r="B315" s="6" t="s">
        <v>82</v>
      </c>
      <c r="C315" s="6" t="s">
        <v>15</v>
      </c>
      <c r="D315" s="15" t="n">
        <v>55</v>
      </c>
      <c r="E315" s="6"/>
      <c r="F315" s="16" t="str">
        <f aca="false">IF(OR(B315="Day",B315="Week"),"W"&amp;TEXT(WEEKNUM(A315,21),"00"),"")</f>
        <v>W41</v>
      </c>
      <c r="G315" s="16" t="str">
        <f aca="false">IF(OR(B315="Day",B315="Month"),TEXT(A315,"mmm yyyy"),"")</f>
        <v>Oct 2026</v>
      </c>
      <c r="H315" s="16" t="str">
        <f aca="false">IF(OR(B315="Day",B315="Month"),"Q"&amp;ROUNDUP(MONTH(A315)/3,0)&amp;" "&amp;YEAR(A315),"")</f>
        <v>Q4 2026</v>
      </c>
    </row>
    <row r="316" customFormat="false" ht="15" hidden="false" customHeight="true" outlineLevel="0" collapsed="false">
      <c r="A316" s="14" t="n">
        <v>46302</v>
      </c>
      <c r="B316" s="6" t="s">
        <v>82</v>
      </c>
      <c r="C316" s="6" t="s">
        <v>19</v>
      </c>
      <c r="D316" s="15" t="n">
        <v>9</v>
      </c>
      <c r="E316" s="6"/>
      <c r="F316" s="16" t="str">
        <f aca="false">IF(OR(B316="Day",B316="Week"),"W"&amp;TEXT(WEEKNUM(A316,21),"00"),"")</f>
        <v>W41</v>
      </c>
      <c r="G316" s="16" t="str">
        <f aca="false">IF(OR(B316="Day",B316="Month"),TEXT(A316,"mmm yyyy"),"")</f>
        <v>Oct 2026</v>
      </c>
      <c r="H316" s="16" t="str">
        <f aca="false">IF(OR(B316="Day",B316="Month"),"Q"&amp;ROUNDUP(MONTH(A316)/3,0)&amp;" "&amp;YEAR(A316),"")</f>
        <v>Q4 2026</v>
      </c>
    </row>
    <row r="317" customFormat="false" ht="15" hidden="false" customHeight="true" outlineLevel="0" collapsed="false">
      <c r="A317" s="14" t="n">
        <v>46302</v>
      </c>
      <c r="B317" s="6" t="s">
        <v>82</v>
      </c>
      <c r="C317" s="6" t="s">
        <v>21</v>
      </c>
      <c r="D317" s="15" t="n">
        <v>32</v>
      </c>
      <c r="E317" s="6"/>
      <c r="F317" s="16" t="str">
        <f aca="false">IF(OR(B317="Day",B317="Week"),"W"&amp;TEXT(WEEKNUM(A317,21),"00"),"")</f>
        <v>W41</v>
      </c>
      <c r="G317" s="16" t="str">
        <f aca="false">IF(OR(B317="Day",B317="Month"),TEXT(A317,"mmm yyyy"),"")</f>
        <v>Oct 2026</v>
      </c>
      <c r="H317" s="16" t="str">
        <f aca="false">IF(OR(B317="Day",B317="Month"),"Q"&amp;ROUNDUP(MONTH(A317)/3,0)&amp;" "&amp;YEAR(A317),"")</f>
        <v>Q4 2026</v>
      </c>
    </row>
    <row r="318" customFormat="false" ht="15" hidden="false" customHeight="true" outlineLevel="0" collapsed="false">
      <c r="A318" s="14" t="n">
        <v>46302</v>
      </c>
      <c r="B318" s="6" t="s">
        <v>82</v>
      </c>
      <c r="C318" s="6" t="s">
        <v>23</v>
      </c>
      <c r="D318" s="15" t="n">
        <v>20</v>
      </c>
      <c r="E318" s="6"/>
      <c r="F318" s="16" t="str">
        <f aca="false">IF(OR(B318="Day",B318="Week"),"W"&amp;TEXT(WEEKNUM(A318,21),"00"),"")</f>
        <v>W41</v>
      </c>
      <c r="G318" s="16" t="str">
        <f aca="false">IF(OR(B318="Day",B318="Month"),TEXT(A318,"mmm yyyy"),"")</f>
        <v>Oct 2026</v>
      </c>
      <c r="H318" s="16" t="str">
        <f aca="false">IF(OR(B318="Day",B318="Month"),"Q"&amp;ROUNDUP(MONTH(A318)/3,0)&amp;" "&amp;YEAR(A318),"")</f>
        <v>Q4 2026</v>
      </c>
    </row>
    <row r="319" customFormat="false" ht="15" hidden="false" customHeight="true" outlineLevel="0" collapsed="false">
      <c r="A319" s="14" t="n">
        <v>46302</v>
      </c>
      <c r="B319" s="6" t="s">
        <v>82</v>
      </c>
      <c r="C319" s="6" t="s">
        <v>27</v>
      </c>
      <c r="D319" s="15" t="n">
        <v>5173000</v>
      </c>
      <c r="E319" s="6"/>
      <c r="F319" s="16" t="str">
        <f aca="false">IF(OR(B319="Day",B319="Week"),"W"&amp;TEXT(WEEKNUM(A319,21),"00"),"")</f>
        <v>W41</v>
      </c>
      <c r="G319" s="16" t="str">
        <f aca="false">IF(OR(B319="Day",B319="Month"),TEXT(A319,"mmm yyyy"),"")</f>
        <v>Oct 2026</v>
      </c>
      <c r="H319" s="16" t="str">
        <f aca="false">IF(OR(B319="Day",B319="Month"),"Q"&amp;ROUNDUP(MONTH(A319)/3,0)&amp;" "&amp;YEAR(A319),"")</f>
        <v>Q4 2026</v>
      </c>
    </row>
    <row r="320" customFormat="false" ht="15" hidden="false" customHeight="true" outlineLevel="0" collapsed="false">
      <c r="A320" s="14" t="n">
        <v>46303</v>
      </c>
      <c r="B320" s="6" t="s">
        <v>82</v>
      </c>
      <c r="C320" s="6" t="s">
        <v>11</v>
      </c>
      <c r="D320" s="15" t="n">
        <v>61</v>
      </c>
      <c r="E320" s="6"/>
      <c r="F320" s="16" t="str">
        <f aca="false">IF(OR(B320="Day",B320="Week"),"W"&amp;TEXT(WEEKNUM(A320,21),"00"),"")</f>
        <v>W41</v>
      </c>
      <c r="G320" s="16" t="str">
        <f aca="false">IF(OR(B320="Day",B320="Month"),TEXT(A320,"mmm yyyy"),"")</f>
        <v>Oct 2026</v>
      </c>
      <c r="H320" s="16" t="str">
        <f aca="false">IF(OR(B320="Day",B320="Month"),"Q"&amp;ROUNDUP(MONTH(A320)/3,0)&amp;" "&amp;YEAR(A320),"")</f>
        <v>Q4 2026</v>
      </c>
    </row>
    <row r="321" customFormat="false" ht="15" hidden="false" customHeight="true" outlineLevel="0" collapsed="false">
      <c r="A321" s="14" t="n">
        <v>46303</v>
      </c>
      <c r="B321" s="6" t="s">
        <v>82</v>
      </c>
      <c r="C321" s="6" t="s">
        <v>15</v>
      </c>
      <c r="D321" s="15" t="n">
        <v>58</v>
      </c>
      <c r="E321" s="6"/>
      <c r="F321" s="16" t="str">
        <f aca="false">IF(OR(B321="Day",B321="Week"),"W"&amp;TEXT(WEEKNUM(A321,21),"00"),"")</f>
        <v>W41</v>
      </c>
      <c r="G321" s="16" t="str">
        <f aca="false">IF(OR(B321="Day",B321="Month"),TEXT(A321,"mmm yyyy"),"")</f>
        <v>Oct 2026</v>
      </c>
      <c r="H321" s="16" t="str">
        <f aca="false">IF(OR(B321="Day",B321="Month"),"Q"&amp;ROUNDUP(MONTH(A321)/3,0)&amp;" "&amp;YEAR(A321),"")</f>
        <v>Q4 2026</v>
      </c>
    </row>
    <row r="322" customFormat="false" ht="15" hidden="false" customHeight="true" outlineLevel="0" collapsed="false">
      <c r="A322" s="14" t="n">
        <v>46303</v>
      </c>
      <c r="B322" s="6" t="s">
        <v>82</v>
      </c>
      <c r="C322" s="6" t="s">
        <v>19</v>
      </c>
      <c r="D322" s="15" t="n">
        <v>10</v>
      </c>
      <c r="E322" s="6"/>
      <c r="F322" s="16" t="str">
        <f aca="false">IF(OR(B322="Day",B322="Week"),"W"&amp;TEXT(WEEKNUM(A322,21),"00"),"")</f>
        <v>W41</v>
      </c>
      <c r="G322" s="16" t="str">
        <f aca="false">IF(OR(B322="Day",B322="Month"),TEXT(A322,"mmm yyyy"),"")</f>
        <v>Oct 2026</v>
      </c>
      <c r="H322" s="16" t="str">
        <f aca="false">IF(OR(B322="Day",B322="Month"),"Q"&amp;ROUNDUP(MONTH(A322)/3,0)&amp;" "&amp;YEAR(A322),"")</f>
        <v>Q4 2026</v>
      </c>
    </row>
    <row r="323" customFormat="false" ht="15" hidden="false" customHeight="true" outlineLevel="0" collapsed="false">
      <c r="A323" s="14" t="n">
        <v>46303</v>
      </c>
      <c r="B323" s="6" t="s">
        <v>82</v>
      </c>
      <c r="C323" s="6" t="s">
        <v>21</v>
      </c>
      <c r="D323" s="15" t="n">
        <v>38</v>
      </c>
      <c r="E323" s="6"/>
      <c r="F323" s="16" t="str">
        <f aca="false">IF(OR(B323="Day",B323="Week"),"W"&amp;TEXT(WEEKNUM(A323,21),"00"),"")</f>
        <v>W41</v>
      </c>
      <c r="G323" s="16" t="str">
        <f aca="false">IF(OR(B323="Day",B323="Month"),TEXT(A323,"mmm yyyy"),"")</f>
        <v>Oct 2026</v>
      </c>
      <c r="H323" s="16" t="str">
        <f aca="false">IF(OR(B323="Day",B323="Month"),"Q"&amp;ROUNDUP(MONTH(A323)/3,0)&amp;" "&amp;YEAR(A323),"")</f>
        <v>Q4 2026</v>
      </c>
    </row>
    <row r="324" customFormat="false" ht="15" hidden="false" customHeight="true" outlineLevel="0" collapsed="false">
      <c r="A324" s="14" t="n">
        <v>46303</v>
      </c>
      <c r="B324" s="6" t="s">
        <v>82</v>
      </c>
      <c r="C324" s="6" t="s">
        <v>23</v>
      </c>
      <c r="D324" s="15" t="n">
        <v>23.2</v>
      </c>
      <c r="E324" s="6"/>
      <c r="F324" s="16" t="str">
        <f aca="false">IF(OR(B324="Day",B324="Week"),"W"&amp;TEXT(WEEKNUM(A324,21),"00"),"")</f>
        <v>W41</v>
      </c>
      <c r="G324" s="16" t="str">
        <f aca="false">IF(OR(B324="Day",B324="Month"),TEXT(A324,"mmm yyyy"),"")</f>
        <v>Oct 2026</v>
      </c>
      <c r="H324" s="16" t="str">
        <f aca="false">IF(OR(B324="Day",B324="Month"),"Q"&amp;ROUNDUP(MONTH(A324)/3,0)&amp;" "&amp;YEAR(A324),"")</f>
        <v>Q4 2026</v>
      </c>
    </row>
    <row r="325" customFormat="false" ht="15" hidden="false" customHeight="true" outlineLevel="0" collapsed="false">
      <c r="A325" s="14" t="n">
        <v>46303</v>
      </c>
      <c r="B325" s="6" t="s">
        <v>82</v>
      </c>
      <c r="C325" s="6" t="s">
        <v>27</v>
      </c>
      <c r="D325" s="15" t="n">
        <v>5267000</v>
      </c>
      <c r="E325" s="6"/>
      <c r="F325" s="16" t="str">
        <f aca="false">IF(OR(B325="Day",B325="Week"),"W"&amp;TEXT(WEEKNUM(A325,21),"00"),"")</f>
        <v>W41</v>
      </c>
      <c r="G325" s="16" t="str">
        <f aca="false">IF(OR(B325="Day",B325="Month"),TEXT(A325,"mmm yyyy"),"")</f>
        <v>Oct 2026</v>
      </c>
      <c r="H325" s="16" t="str">
        <f aca="false">IF(OR(B325="Day",B325="Month"),"Q"&amp;ROUNDUP(MONTH(A325)/3,0)&amp;" "&amp;YEAR(A325),"")</f>
        <v>Q4 2026</v>
      </c>
    </row>
    <row r="326" customFormat="false" ht="15" hidden="false" customHeight="true" outlineLevel="0" collapsed="false">
      <c r="A326" s="14" t="n">
        <v>46304</v>
      </c>
      <c r="B326" s="6" t="s">
        <v>82</v>
      </c>
      <c r="C326" s="6" t="s">
        <v>11</v>
      </c>
      <c r="D326" s="15" t="n">
        <v>57</v>
      </c>
      <c r="E326" s="6"/>
      <c r="F326" s="16" t="str">
        <f aca="false">IF(OR(B326="Day",B326="Week"),"W"&amp;TEXT(WEEKNUM(A326,21),"00"),"")</f>
        <v>W41</v>
      </c>
      <c r="G326" s="16" t="str">
        <f aca="false">IF(OR(B326="Day",B326="Month"),TEXT(A326,"mmm yyyy"),"")</f>
        <v>Oct 2026</v>
      </c>
      <c r="H326" s="16" t="str">
        <f aca="false">IF(OR(B326="Day",B326="Month"),"Q"&amp;ROUNDUP(MONTH(A326)/3,0)&amp;" "&amp;YEAR(A326),"")</f>
        <v>Q4 2026</v>
      </c>
    </row>
    <row r="327" customFormat="false" ht="15" hidden="false" customHeight="true" outlineLevel="0" collapsed="false">
      <c r="A327" s="14" t="n">
        <v>46304</v>
      </c>
      <c r="B327" s="6" t="s">
        <v>82</v>
      </c>
      <c r="C327" s="6" t="s">
        <v>15</v>
      </c>
      <c r="D327" s="15" t="n">
        <v>56</v>
      </c>
      <c r="E327" s="6"/>
      <c r="F327" s="16" t="str">
        <f aca="false">IF(OR(B327="Day",B327="Week"),"W"&amp;TEXT(WEEKNUM(A327,21),"00"),"")</f>
        <v>W41</v>
      </c>
      <c r="G327" s="16" t="str">
        <f aca="false">IF(OR(B327="Day",B327="Month"),TEXT(A327,"mmm yyyy"),"")</f>
        <v>Oct 2026</v>
      </c>
      <c r="H327" s="16" t="str">
        <f aca="false">IF(OR(B327="Day",B327="Month"),"Q"&amp;ROUNDUP(MONTH(A327)/3,0)&amp;" "&amp;YEAR(A327),"")</f>
        <v>Q4 2026</v>
      </c>
    </row>
    <row r="328" customFormat="false" ht="15" hidden="false" customHeight="true" outlineLevel="0" collapsed="false">
      <c r="A328" s="14" t="n">
        <v>46304</v>
      </c>
      <c r="B328" s="6" t="s">
        <v>82</v>
      </c>
      <c r="C328" s="6" t="s">
        <v>19</v>
      </c>
      <c r="D328" s="15" t="n">
        <v>10</v>
      </c>
      <c r="E328" s="6"/>
      <c r="F328" s="16" t="str">
        <f aca="false">IF(OR(B328="Day",B328="Week"),"W"&amp;TEXT(WEEKNUM(A328,21),"00"),"")</f>
        <v>W41</v>
      </c>
      <c r="G328" s="16" t="str">
        <f aca="false">IF(OR(B328="Day",B328="Month"),TEXT(A328,"mmm yyyy"),"")</f>
        <v>Oct 2026</v>
      </c>
      <c r="H328" s="16" t="str">
        <f aca="false">IF(OR(B328="Day",B328="Month"),"Q"&amp;ROUNDUP(MONTH(A328)/3,0)&amp;" "&amp;YEAR(A328),"")</f>
        <v>Q4 2026</v>
      </c>
    </row>
    <row r="329" customFormat="false" ht="15" hidden="false" customHeight="true" outlineLevel="0" collapsed="false">
      <c r="A329" s="14" t="n">
        <v>46304</v>
      </c>
      <c r="B329" s="6" t="s">
        <v>82</v>
      </c>
      <c r="C329" s="6" t="s">
        <v>21</v>
      </c>
      <c r="D329" s="15" t="n">
        <v>35</v>
      </c>
      <c r="E329" s="6"/>
      <c r="F329" s="16" t="str">
        <f aca="false">IF(OR(B329="Day",B329="Week"),"W"&amp;TEXT(WEEKNUM(A329,21),"00"),"")</f>
        <v>W41</v>
      </c>
      <c r="G329" s="16" t="str">
        <f aca="false">IF(OR(B329="Day",B329="Month"),TEXT(A329,"mmm yyyy"),"")</f>
        <v>Oct 2026</v>
      </c>
      <c r="H329" s="16" t="str">
        <f aca="false">IF(OR(B329="Day",B329="Month"),"Q"&amp;ROUNDUP(MONTH(A329)/3,0)&amp;" "&amp;YEAR(A329),"")</f>
        <v>Q4 2026</v>
      </c>
    </row>
    <row r="330" customFormat="false" ht="15" hidden="false" customHeight="true" outlineLevel="0" collapsed="false">
      <c r="A330" s="14" t="n">
        <v>46304</v>
      </c>
      <c r="B330" s="6" t="s">
        <v>82</v>
      </c>
      <c r="C330" s="6" t="s">
        <v>23</v>
      </c>
      <c r="D330" s="15" t="n">
        <v>19.6</v>
      </c>
      <c r="E330" s="6"/>
      <c r="F330" s="16" t="str">
        <f aca="false">IF(OR(B330="Day",B330="Week"),"W"&amp;TEXT(WEEKNUM(A330,21),"00"),"")</f>
        <v>W41</v>
      </c>
      <c r="G330" s="16" t="str">
        <f aca="false">IF(OR(B330="Day",B330="Month"),TEXT(A330,"mmm yyyy"),"")</f>
        <v>Oct 2026</v>
      </c>
      <c r="H330" s="16" t="str">
        <f aca="false">IF(OR(B330="Day",B330="Month"),"Q"&amp;ROUNDUP(MONTH(A330)/3,0)&amp;" "&amp;YEAR(A330),"")</f>
        <v>Q4 2026</v>
      </c>
    </row>
    <row r="331" customFormat="false" ht="15" hidden="false" customHeight="true" outlineLevel="0" collapsed="false">
      <c r="A331" s="14" t="n">
        <v>46304</v>
      </c>
      <c r="B331" s="6" t="s">
        <v>82</v>
      </c>
      <c r="C331" s="6" t="s">
        <v>27</v>
      </c>
      <c r="D331" s="15" t="n">
        <v>5137000</v>
      </c>
      <c r="E331" s="6"/>
      <c r="F331" s="16" t="str">
        <f aca="false">IF(OR(B331="Day",B331="Week"),"W"&amp;TEXT(WEEKNUM(A331,21),"00"),"")</f>
        <v>W41</v>
      </c>
      <c r="G331" s="16" t="str">
        <f aca="false">IF(OR(B331="Day",B331="Month"),TEXT(A331,"mmm yyyy"),"")</f>
        <v>Oct 2026</v>
      </c>
      <c r="H331" s="16" t="str">
        <f aca="false">IF(OR(B331="Day",B331="Month"),"Q"&amp;ROUNDUP(MONTH(A331)/3,0)&amp;" "&amp;YEAR(A331),"")</f>
        <v>Q4 2026</v>
      </c>
    </row>
    <row r="332" customFormat="false" ht="15" hidden="false" customHeight="true" outlineLevel="0" collapsed="false">
      <c r="A332" s="14" t="n">
        <v>46307</v>
      </c>
      <c r="B332" s="6" t="s">
        <v>82</v>
      </c>
      <c r="C332" s="6" t="s">
        <v>11</v>
      </c>
      <c r="D332" s="15" t="n">
        <v>65</v>
      </c>
      <c r="E332" s="6"/>
      <c r="F332" s="16" t="str">
        <f aca="false">IF(OR(B332="Day",B332="Week"),"W"&amp;TEXT(WEEKNUM(A332,21),"00"),"")</f>
        <v>W42</v>
      </c>
      <c r="G332" s="16" t="str">
        <f aca="false">IF(OR(B332="Day",B332="Month"),TEXT(A332,"mmm yyyy"),"")</f>
        <v>Oct 2026</v>
      </c>
      <c r="H332" s="16" t="str">
        <f aca="false">IF(OR(B332="Day",B332="Month"),"Q"&amp;ROUNDUP(MONTH(A332)/3,0)&amp;" "&amp;YEAR(A332),"")</f>
        <v>Q4 2026</v>
      </c>
    </row>
    <row r="333" customFormat="false" ht="15" hidden="false" customHeight="true" outlineLevel="0" collapsed="false">
      <c r="A333" s="14" t="n">
        <v>46307</v>
      </c>
      <c r="B333" s="6" t="s">
        <v>82</v>
      </c>
      <c r="C333" s="6" t="s">
        <v>15</v>
      </c>
      <c r="D333" s="15" t="n">
        <v>63</v>
      </c>
      <c r="E333" s="6"/>
      <c r="F333" s="16" t="str">
        <f aca="false">IF(OR(B333="Day",B333="Week"),"W"&amp;TEXT(WEEKNUM(A333,21),"00"),"")</f>
        <v>W42</v>
      </c>
      <c r="G333" s="16" t="str">
        <f aca="false">IF(OR(B333="Day",B333="Month"),TEXT(A333,"mmm yyyy"),"")</f>
        <v>Oct 2026</v>
      </c>
      <c r="H333" s="16" t="str">
        <f aca="false">IF(OR(B333="Day",B333="Month"),"Q"&amp;ROUNDUP(MONTH(A333)/3,0)&amp;" "&amp;YEAR(A333),"")</f>
        <v>Q4 2026</v>
      </c>
    </row>
    <row r="334" customFormat="false" ht="15" hidden="false" customHeight="true" outlineLevel="0" collapsed="false">
      <c r="A334" s="14" t="n">
        <v>46307</v>
      </c>
      <c r="B334" s="6" t="s">
        <v>82</v>
      </c>
      <c r="C334" s="6" t="s">
        <v>19</v>
      </c>
      <c r="D334" s="15" t="n">
        <v>11</v>
      </c>
      <c r="E334" s="6"/>
      <c r="F334" s="16" t="str">
        <f aca="false">IF(OR(B334="Day",B334="Week"),"W"&amp;TEXT(WEEKNUM(A334,21),"00"),"")</f>
        <v>W42</v>
      </c>
      <c r="G334" s="16" t="str">
        <f aca="false">IF(OR(B334="Day",B334="Month"),TEXT(A334,"mmm yyyy"),"")</f>
        <v>Oct 2026</v>
      </c>
      <c r="H334" s="16" t="str">
        <f aca="false">IF(OR(B334="Day",B334="Month"),"Q"&amp;ROUNDUP(MONTH(A334)/3,0)&amp;" "&amp;YEAR(A334),"")</f>
        <v>Q4 2026</v>
      </c>
    </row>
    <row r="335" customFormat="false" ht="15" hidden="false" customHeight="true" outlineLevel="0" collapsed="false">
      <c r="A335" s="14" t="n">
        <v>46307</v>
      </c>
      <c r="B335" s="6" t="s">
        <v>82</v>
      </c>
      <c r="C335" s="6" t="s">
        <v>21</v>
      </c>
      <c r="D335" s="15" t="n">
        <v>33</v>
      </c>
      <c r="E335" s="6"/>
      <c r="F335" s="16" t="str">
        <f aca="false">IF(OR(B335="Day",B335="Week"),"W"&amp;TEXT(WEEKNUM(A335,21),"00"),"")</f>
        <v>W42</v>
      </c>
      <c r="G335" s="16" t="str">
        <f aca="false">IF(OR(B335="Day",B335="Month"),TEXT(A335,"mmm yyyy"),"")</f>
        <v>Oct 2026</v>
      </c>
      <c r="H335" s="16" t="str">
        <f aca="false">IF(OR(B335="Day",B335="Month"),"Q"&amp;ROUNDUP(MONTH(A335)/3,0)&amp;" "&amp;YEAR(A335),"")</f>
        <v>Q4 2026</v>
      </c>
    </row>
    <row r="336" customFormat="false" ht="15" hidden="false" customHeight="true" outlineLevel="0" collapsed="false">
      <c r="A336" s="14" t="n">
        <v>46307</v>
      </c>
      <c r="B336" s="6" t="s">
        <v>82</v>
      </c>
      <c r="C336" s="6" t="s">
        <v>23</v>
      </c>
      <c r="D336" s="15" t="n">
        <v>20.4</v>
      </c>
      <c r="E336" s="6"/>
      <c r="F336" s="16" t="str">
        <f aca="false">IF(OR(B336="Day",B336="Week"),"W"&amp;TEXT(WEEKNUM(A336,21),"00"),"")</f>
        <v>W42</v>
      </c>
      <c r="G336" s="16" t="str">
        <f aca="false">IF(OR(B336="Day",B336="Month"),TEXT(A336,"mmm yyyy"),"")</f>
        <v>Oct 2026</v>
      </c>
      <c r="H336" s="16" t="str">
        <f aca="false">IF(OR(B336="Day",B336="Month"),"Q"&amp;ROUNDUP(MONTH(A336)/3,0)&amp;" "&amp;YEAR(A336),"")</f>
        <v>Q4 2026</v>
      </c>
    </row>
    <row r="337" customFormat="false" ht="15" hidden="false" customHeight="true" outlineLevel="0" collapsed="false">
      <c r="A337" s="14" t="n">
        <v>46307</v>
      </c>
      <c r="B337" s="6" t="s">
        <v>82</v>
      </c>
      <c r="C337" s="6" t="s">
        <v>27</v>
      </c>
      <c r="D337" s="15" t="n">
        <v>5207000</v>
      </c>
      <c r="E337" s="6"/>
      <c r="F337" s="16" t="str">
        <f aca="false">IF(OR(B337="Day",B337="Week"),"W"&amp;TEXT(WEEKNUM(A337,21),"00"),"")</f>
        <v>W42</v>
      </c>
      <c r="G337" s="16" t="str">
        <f aca="false">IF(OR(B337="Day",B337="Month"),TEXT(A337,"mmm yyyy"),"")</f>
        <v>Oct 2026</v>
      </c>
      <c r="H337" s="16" t="str">
        <f aca="false">IF(OR(B337="Day",B337="Month"),"Q"&amp;ROUNDUP(MONTH(A337)/3,0)&amp;" "&amp;YEAR(A337),"")</f>
        <v>Q4 2026</v>
      </c>
    </row>
    <row r="338" customFormat="false" ht="15" hidden="false" customHeight="true" outlineLevel="0" collapsed="false">
      <c r="A338" s="14" t="n">
        <v>46308</v>
      </c>
      <c r="B338" s="6" t="s">
        <v>82</v>
      </c>
      <c r="C338" s="6" t="s">
        <v>11</v>
      </c>
      <c r="D338" s="15" t="n">
        <v>65</v>
      </c>
      <c r="E338" s="6"/>
      <c r="F338" s="16" t="str">
        <f aca="false">IF(OR(B338="Day",B338="Week"),"W"&amp;TEXT(WEEKNUM(A338,21),"00"),"")</f>
        <v>W42</v>
      </c>
      <c r="G338" s="16" t="str">
        <f aca="false">IF(OR(B338="Day",B338="Month"),TEXT(A338,"mmm yyyy"),"")</f>
        <v>Oct 2026</v>
      </c>
      <c r="H338" s="16" t="str">
        <f aca="false">IF(OR(B338="Day",B338="Month"),"Q"&amp;ROUNDUP(MONTH(A338)/3,0)&amp;" "&amp;YEAR(A338),"")</f>
        <v>Q4 2026</v>
      </c>
    </row>
    <row r="339" customFormat="false" ht="15" hidden="false" customHeight="true" outlineLevel="0" collapsed="false">
      <c r="A339" s="14" t="n">
        <v>46308</v>
      </c>
      <c r="B339" s="6" t="s">
        <v>82</v>
      </c>
      <c r="C339" s="6" t="s">
        <v>15</v>
      </c>
      <c r="D339" s="15" t="n">
        <v>62</v>
      </c>
      <c r="E339" s="6"/>
      <c r="F339" s="16" t="str">
        <f aca="false">IF(OR(B339="Day",B339="Week"),"W"&amp;TEXT(WEEKNUM(A339,21),"00"),"")</f>
        <v>W42</v>
      </c>
      <c r="G339" s="16" t="str">
        <f aca="false">IF(OR(B339="Day",B339="Month"),TEXT(A339,"mmm yyyy"),"")</f>
        <v>Oct 2026</v>
      </c>
      <c r="H339" s="16" t="str">
        <f aca="false">IF(OR(B339="Day",B339="Month"),"Q"&amp;ROUNDUP(MONTH(A339)/3,0)&amp;" "&amp;YEAR(A339),"")</f>
        <v>Q4 2026</v>
      </c>
    </row>
    <row r="340" customFormat="false" ht="15" hidden="false" customHeight="true" outlineLevel="0" collapsed="false">
      <c r="A340" s="14" t="n">
        <v>46308</v>
      </c>
      <c r="B340" s="6" t="s">
        <v>82</v>
      </c>
      <c r="C340" s="6" t="s">
        <v>19</v>
      </c>
      <c r="D340" s="15" t="n">
        <v>10</v>
      </c>
      <c r="E340" s="6"/>
      <c r="F340" s="16" t="str">
        <f aca="false">IF(OR(B340="Day",B340="Week"),"W"&amp;TEXT(WEEKNUM(A340,21),"00"),"")</f>
        <v>W42</v>
      </c>
      <c r="G340" s="16" t="str">
        <f aca="false">IF(OR(B340="Day",B340="Month"),TEXT(A340,"mmm yyyy"),"")</f>
        <v>Oct 2026</v>
      </c>
      <c r="H340" s="16" t="str">
        <f aca="false">IF(OR(B340="Day",B340="Month"),"Q"&amp;ROUNDUP(MONTH(A340)/3,0)&amp;" "&amp;YEAR(A340),"")</f>
        <v>Q4 2026</v>
      </c>
    </row>
    <row r="341" customFormat="false" ht="15" hidden="false" customHeight="true" outlineLevel="0" collapsed="false">
      <c r="A341" s="14" t="n">
        <v>46308</v>
      </c>
      <c r="B341" s="6" t="s">
        <v>82</v>
      </c>
      <c r="C341" s="6" t="s">
        <v>21</v>
      </c>
      <c r="D341" s="15" t="n">
        <v>35</v>
      </c>
      <c r="E341" s="6"/>
      <c r="F341" s="16" t="str">
        <f aca="false">IF(OR(B341="Day",B341="Week"),"W"&amp;TEXT(WEEKNUM(A341,21),"00"),"")</f>
        <v>W42</v>
      </c>
      <c r="G341" s="16" t="str">
        <f aca="false">IF(OR(B341="Day",B341="Month"),TEXT(A341,"mmm yyyy"),"")</f>
        <v>Oct 2026</v>
      </c>
      <c r="H341" s="16" t="str">
        <f aca="false">IF(OR(B341="Day",B341="Month"),"Q"&amp;ROUNDUP(MONTH(A341)/3,0)&amp;" "&amp;YEAR(A341),"")</f>
        <v>Q4 2026</v>
      </c>
    </row>
    <row r="342" customFormat="false" ht="15" hidden="false" customHeight="true" outlineLevel="0" collapsed="false">
      <c r="A342" s="14" t="n">
        <v>46308</v>
      </c>
      <c r="B342" s="6" t="s">
        <v>82</v>
      </c>
      <c r="C342" s="6" t="s">
        <v>23</v>
      </c>
      <c r="D342" s="15" t="n">
        <v>22.2</v>
      </c>
      <c r="E342" s="6"/>
      <c r="F342" s="16" t="str">
        <f aca="false">IF(OR(B342="Day",B342="Week"),"W"&amp;TEXT(WEEKNUM(A342,21),"00"),"")</f>
        <v>W42</v>
      </c>
      <c r="G342" s="16" t="str">
        <f aca="false">IF(OR(B342="Day",B342="Month"),TEXT(A342,"mmm yyyy"),"")</f>
        <v>Oct 2026</v>
      </c>
      <c r="H342" s="16" t="str">
        <f aca="false">IF(OR(B342="Day",B342="Month"),"Q"&amp;ROUNDUP(MONTH(A342)/3,0)&amp;" "&amp;YEAR(A342),"")</f>
        <v>Q4 2026</v>
      </c>
    </row>
    <row r="343" customFormat="false" ht="15" hidden="false" customHeight="true" outlineLevel="0" collapsed="false">
      <c r="A343" s="14" t="n">
        <v>46308</v>
      </c>
      <c r="B343" s="6" t="s">
        <v>82</v>
      </c>
      <c r="C343" s="6" t="s">
        <v>27</v>
      </c>
      <c r="D343" s="15" t="n">
        <v>4821000</v>
      </c>
      <c r="E343" s="6"/>
      <c r="F343" s="16" t="str">
        <f aca="false">IF(OR(B343="Day",B343="Week"),"W"&amp;TEXT(WEEKNUM(A343,21),"00"),"")</f>
        <v>W42</v>
      </c>
      <c r="G343" s="16" t="str">
        <f aca="false">IF(OR(B343="Day",B343="Month"),TEXT(A343,"mmm yyyy"),"")</f>
        <v>Oct 2026</v>
      </c>
      <c r="H343" s="16" t="str">
        <f aca="false">IF(OR(B343="Day",B343="Month"),"Q"&amp;ROUNDUP(MONTH(A343)/3,0)&amp;" "&amp;YEAR(A343),"")</f>
        <v>Q4 2026</v>
      </c>
    </row>
    <row r="344" customFormat="false" ht="15" hidden="false" customHeight="true" outlineLevel="0" collapsed="false">
      <c r="A344" s="14" t="n">
        <v>46309</v>
      </c>
      <c r="B344" s="6" t="s">
        <v>82</v>
      </c>
      <c r="C344" s="6" t="s">
        <v>11</v>
      </c>
      <c r="D344" s="15" t="n">
        <v>62</v>
      </c>
      <c r="E344" s="6"/>
      <c r="F344" s="16" t="str">
        <f aca="false">IF(OR(B344="Day",B344="Week"),"W"&amp;TEXT(WEEKNUM(A344,21),"00"),"")</f>
        <v>W42</v>
      </c>
      <c r="G344" s="16" t="str">
        <f aca="false">IF(OR(B344="Day",B344="Month"),TEXT(A344,"mmm yyyy"),"")</f>
        <v>Oct 2026</v>
      </c>
      <c r="H344" s="16" t="str">
        <f aca="false">IF(OR(B344="Day",B344="Month"),"Q"&amp;ROUNDUP(MONTH(A344)/3,0)&amp;" "&amp;YEAR(A344),"")</f>
        <v>Q4 2026</v>
      </c>
    </row>
    <row r="345" customFormat="false" ht="15" hidden="false" customHeight="true" outlineLevel="0" collapsed="false">
      <c r="A345" s="14" t="n">
        <v>46309</v>
      </c>
      <c r="B345" s="6" t="s">
        <v>82</v>
      </c>
      <c r="C345" s="6" t="s">
        <v>15</v>
      </c>
      <c r="D345" s="15" t="n">
        <v>60</v>
      </c>
      <c r="E345" s="6"/>
      <c r="F345" s="16" t="str">
        <f aca="false">IF(OR(B345="Day",B345="Week"),"W"&amp;TEXT(WEEKNUM(A345,21),"00"),"")</f>
        <v>W42</v>
      </c>
      <c r="G345" s="16" t="str">
        <f aca="false">IF(OR(B345="Day",B345="Month"),TEXT(A345,"mmm yyyy"),"")</f>
        <v>Oct 2026</v>
      </c>
      <c r="H345" s="16" t="str">
        <f aca="false">IF(OR(B345="Day",B345="Month"),"Q"&amp;ROUNDUP(MONTH(A345)/3,0)&amp;" "&amp;YEAR(A345),"")</f>
        <v>Q4 2026</v>
      </c>
    </row>
    <row r="346" customFormat="false" ht="15" hidden="false" customHeight="true" outlineLevel="0" collapsed="false">
      <c r="A346" s="14" t="n">
        <v>46309</v>
      </c>
      <c r="B346" s="6" t="s">
        <v>82</v>
      </c>
      <c r="C346" s="6" t="s">
        <v>19</v>
      </c>
      <c r="D346" s="15" t="n">
        <v>11</v>
      </c>
      <c r="E346" s="6"/>
      <c r="F346" s="16" t="str">
        <f aca="false">IF(OR(B346="Day",B346="Week"),"W"&amp;TEXT(WEEKNUM(A346,21),"00"),"")</f>
        <v>W42</v>
      </c>
      <c r="G346" s="16" t="str">
        <f aca="false">IF(OR(B346="Day",B346="Month"),TEXT(A346,"mmm yyyy"),"")</f>
        <v>Oct 2026</v>
      </c>
      <c r="H346" s="16" t="str">
        <f aca="false">IF(OR(B346="Day",B346="Month"),"Q"&amp;ROUNDUP(MONTH(A346)/3,0)&amp;" "&amp;YEAR(A346),"")</f>
        <v>Q4 2026</v>
      </c>
    </row>
    <row r="347" customFormat="false" ht="15" hidden="false" customHeight="true" outlineLevel="0" collapsed="false">
      <c r="A347" s="14" t="n">
        <v>46309</v>
      </c>
      <c r="B347" s="6" t="s">
        <v>82</v>
      </c>
      <c r="C347" s="6" t="s">
        <v>21</v>
      </c>
      <c r="D347" s="15" t="n">
        <v>40</v>
      </c>
      <c r="E347" s="6"/>
      <c r="F347" s="16" t="str">
        <f aca="false">IF(OR(B347="Day",B347="Week"),"W"&amp;TEXT(WEEKNUM(A347,21),"00"),"")</f>
        <v>W42</v>
      </c>
      <c r="G347" s="16" t="str">
        <f aca="false">IF(OR(B347="Day",B347="Month"),TEXT(A347,"mmm yyyy"),"")</f>
        <v>Oct 2026</v>
      </c>
      <c r="H347" s="16" t="str">
        <f aca="false">IF(OR(B347="Day",B347="Month"),"Q"&amp;ROUNDUP(MONTH(A347)/3,0)&amp;" "&amp;YEAR(A347),"")</f>
        <v>Q4 2026</v>
      </c>
    </row>
    <row r="348" customFormat="false" ht="15" hidden="false" customHeight="true" outlineLevel="0" collapsed="false">
      <c r="A348" s="14" t="n">
        <v>46309</v>
      </c>
      <c r="B348" s="6" t="s">
        <v>82</v>
      </c>
      <c r="C348" s="6" t="s">
        <v>23</v>
      </c>
      <c r="D348" s="15" t="n">
        <v>21.6</v>
      </c>
      <c r="E348" s="6"/>
      <c r="F348" s="16" t="str">
        <f aca="false">IF(OR(B348="Day",B348="Week"),"W"&amp;TEXT(WEEKNUM(A348,21),"00"),"")</f>
        <v>W42</v>
      </c>
      <c r="G348" s="16" t="str">
        <f aca="false">IF(OR(B348="Day",B348="Month"),TEXT(A348,"mmm yyyy"),"")</f>
        <v>Oct 2026</v>
      </c>
      <c r="H348" s="16" t="str">
        <f aca="false">IF(OR(B348="Day",B348="Month"),"Q"&amp;ROUNDUP(MONTH(A348)/3,0)&amp;" "&amp;YEAR(A348),"")</f>
        <v>Q4 2026</v>
      </c>
    </row>
    <row r="349" customFormat="false" ht="15" hidden="false" customHeight="true" outlineLevel="0" collapsed="false">
      <c r="A349" s="14" t="n">
        <v>46309</v>
      </c>
      <c r="B349" s="6" t="s">
        <v>82</v>
      </c>
      <c r="C349" s="6" t="s">
        <v>27</v>
      </c>
      <c r="D349" s="15" t="n">
        <v>4940000</v>
      </c>
      <c r="E349" s="6"/>
      <c r="F349" s="16" t="str">
        <f aca="false">IF(OR(B349="Day",B349="Week"),"W"&amp;TEXT(WEEKNUM(A349,21),"00"),"")</f>
        <v>W42</v>
      </c>
      <c r="G349" s="16" t="str">
        <f aca="false">IF(OR(B349="Day",B349="Month"),TEXT(A349,"mmm yyyy"),"")</f>
        <v>Oct 2026</v>
      </c>
      <c r="H349" s="16" t="str">
        <f aca="false">IF(OR(B349="Day",B349="Month"),"Q"&amp;ROUNDUP(MONTH(A349)/3,0)&amp;" "&amp;YEAR(A349),"")</f>
        <v>Q4 2026</v>
      </c>
    </row>
    <row r="350" customFormat="false" ht="15" hidden="false" customHeight="true" outlineLevel="0" collapsed="false">
      <c r="A350" s="14" t="n">
        <v>46310</v>
      </c>
      <c r="B350" s="6" t="s">
        <v>82</v>
      </c>
      <c r="C350" s="6" t="s">
        <v>11</v>
      </c>
      <c r="D350" s="15" t="n">
        <v>61</v>
      </c>
      <c r="E350" s="6"/>
      <c r="F350" s="16" t="str">
        <f aca="false">IF(OR(B350="Day",B350="Week"),"W"&amp;TEXT(WEEKNUM(A350,21),"00"),"")</f>
        <v>W42</v>
      </c>
      <c r="G350" s="16" t="str">
        <f aca="false">IF(OR(B350="Day",B350="Month"),TEXT(A350,"mmm yyyy"),"")</f>
        <v>Oct 2026</v>
      </c>
      <c r="H350" s="16" t="str">
        <f aca="false">IF(OR(B350="Day",B350="Month"),"Q"&amp;ROUNDUP(MONTH(A350)/3,0)&amp;" "&amp;YEAR(A350),"")</f>
        <v>Q4 2026</v>
      </c>
    </row>
    <row r="351" customFormat="false" ht="15" hidden="false" customHeight="true" outlineLevel="0" collapsed="false">
      <c r="A351" s="14" t="n">
        <v>46310</v>
      </c>
      <c r="B351" s="6" t="s">
        <v>82</v>
      </c>
      <c r="C351" s="6" t="s">
        <v>15</v>
      </c>
      <c r="D351" s="15" t="n">
        <v>59</v>
      </c>
      <c r="E351" s="6"/>
      <c r="F351" s="16" t="str">
        <f aca="false">IF(OR(B351="Day",B351="Week"),"W"&amp;TEXT(WEEKNUM(A351,21),"00"),"")</f>
        <v>W42</v>
      </c>
      <c r="G351" s="16" t="str">
        <f aca="false">IF(OR(B351="Day",B351="Month"),TEXT(A351,"mmm yyyy"),"")</f>
        <v>Oct 2026</v>
      </c>
      <c r="H351" s="16" t="str">
        <f aca="false">IF(OR(B351="Day",B351="Month"),"Q"&amp;ROUNDUP(MONTH(A351)/3,0)&amp;" "&amp;YEAR(A351),"")</f>
        <v>Q4 2026</v>
      </c>
    </row>
    <row r="352" customFormat="false" ht="15" hidden="false" customHeight="true" outlineLevel="0" collapsed="false">
      <c r="A352" s="14" t="n">
        <v>46310</v>
      </c>
      <c r="B352" s="6" t="s">
        <v>82</v>
      </c>
      <c r="C352" s="6" t="s">
        <v>19</v>
      </c>
      <c r="D352" s="15" t="n">
        <v>10</v>
      </c>
      <c r="E352" s="6"/>
      <c r="F352" s="16" t="str">
        <f aca="false">IF(OR(B352="Day",B352="Week"),"W"&amp;TEXT(WEEKNUM(A352,21),"00"),"")</f>
        <v>W42</v>
      </c>
      <c r="G352" s="16" t="str">
        <f aca="false">IF(OR(B352="Day",B352="Month"),TEXT(A352,"mmm yyyy"),"")</f>
        <v>Oct 2026</v>
      </c>
      <c r="H352" s="16" t="str">
        <f aca="false">IF(OR(B352="Day",B352="Month"),"Q"&amp;ROUNDUP(MONTH(A352)/3,0)&amp;" "&amp;YEAR(A352),"")</f>
        <v>Q4 2026</v>
      </c>
    </row>
    <row r="353" customFormat="false" ht="15" hidden="false" customHeight="true" outlineLevel="0" collapsed="false">
      <c r="A353" s="14" t="n">
        <v>46310</v>
      </c>
      <c r="B353" s="6" t="s">
        <v>82</v>
      </c>
      <c r="C353" s="6" t="s">
        <v>21</v>
      </c>
      <c r="D353" s="15" t="n">
        <v>31</v>
      </c>
      <c r="E353" s="6"/>
      <c r="F353" s="16" t="str">
        <f aca="false">IF(OR(B353="Day",B353="Week"),"W"&amp;TEXT(WEEKNUM(A353,21),"00"),"")</f>
        <v>W42</v>
      </c>
      <c r="G353" s="16" t="str">
        <f aca="false">IF(OR(B353="Day",B353="Month"),TEXT(A353,"mmm yyyy"),"")</f>
        <v>Oct 2026</v>
      </c>
      <c r="H353" s="16" t="str">
        <f aca="false">IF(OR(B353="Day",B353="Month"),"Q"&amp;ROUNDUP(MONTH(A353)/3,0)&amp;" "&amp;YEAR(A353),"")</f>
        <v>Q4 2026</v>
      </c>
    </row>
    <row r="354" customFormat="false" ht="15" hidden="false" customHeight="true" outlineLevel="0" collapsed="false">
      <c r="A354" s="14" t="n">
        <v>46310</v>
      </c>
      <c r="B354" s="6" t="s">
        <v>82</v>
      </c>
      <c r="C354" s="6" t="s">
        <v>23</v>
      </c>
      <c r="D354" s="15" t="n">
        <v>21.8</v>
      </c>
      <c r="E354" s="6"/>
      <c r="F354" s="16" t="str">
        <f aca="false">IF(OR(B354="Day",B354="Week"),"W"&amp;TEXT(WEEKNUM(A354,21),"00"),"")</f>
        <v>W42</v>
      </c>
      <c r="G354" s="16" t="str">
        <f aca="false">IF(OR(B354="Day",B354="Month"),TEXT(A354,"mmm yyyy"),"")</f>
        <v>Oct 2026</v>
      </c>
      <c r="H354" s="16" t="str">
        <f aca="false">IF(OR(B354="Day",B354="Month"),"Q"&amp;ROUNDUP(MONTH(A354)/3,0)&amp;" "&amp;YEAR(A354),"")</f>
        <v>Q4 2026</v>
      </c>
    </row>
    <row r="355" customFormat="false" ht="15" hidden="false" customHeight="true" outlineLevel="0" collapsed="false">
      <c r="A355" s="14" t="n">
        <v>46310</v>
      </c>
      <c r="B355" s="6" t="s">
        <v>82</v>
      </c>
      <c r="C355" s="6" t="s">
        <v>27</v>
      </c>
      <c r="D355" s="15" t="n">
        <v>4948000</v>
      </c>
      <c r="E355" s="6"/>
      <c r="F355" s="16" t="str">
        <f aca="false">IF(OR(B355="Day",B355="Week"),"W"&amp;TEXT(WEEKNUM(A355,21),"00"),"")</f>
        <v>W42</v>
      </c>
      <c r="G355" s="16" t="str">
        <f aca="false">IF(OR(B355="Day",B355="Month"),TEXT(A355,"mmm yyyy"),"")</f>
        <v>Oct 2026</v>
      </c>
      <c r="H355" s="16" t="str">
        <f aca="false">IF(OR(B355="Day",B355="Month"),"Q"&amp;ROUNDUP(MONTH(A355)/3,0)&amp;" "&amp;YEAR(A355),"")</f>
        <v>Q4 2026</v>
      </c>
    </row>
    <row r="356" customFormat="false" ht="15" hidden="false" customHeight="true" outlineLevel="0" collapsed="false">
      <c r="A356" s="14" t="n">
        <v>46311</v>
      </c>
      <c r="B356" s="6" t="s">
        <v>82</v>
      </c>
      <c r="C356" s="6" t="s">
        <v>11</v>
      </c>
      <c r="D356" s="15" t="n">
        <v>59</v>
      </c>
      <c r="E356" s="6"/>
      <c r="F356" s="16" t="str">
        <f aca="false">IF(OR(B356="Day",B356="Week"),"W"&amp;TEXT(WEEKNUM(A356,21),"00"),"")</f>
        <v>W42</v>
      </c>
      <c r="G356" s="16" t="str">
        <f aca="false">IF(OR(B356="Day",B356="Month"),TEXT(A356,"mmm yyyy"),"")</f>
        <v>Oct 2026</v>
      </c>
      <c r="H356" s="16" t="str">
        <f aca="false">IF(OR(B356="Day",B356="Month"),"Q"&amp;ROUNDUP(MONTH(A356)/3,0)&amp;" "&amp;YEAR(A356),"")</f>
        <v>Q4 2026</v>
      </c>
    </row>
    <row r="357" customFormat="false" ht="15" hidden="false" customHeight="true" outlineLevel="0" collapsed="false">
      <c r="A357" s="14" t="n">
        <v>46311</v>
      </c>
      <c r="B357" s="6" t="s">
        <v>82</v>
      </c>
      <c r="C357" s="6" t="s">
        <v>15</v>
      </c>
      <c r="D357" s="15" t="n">
        <v>58</v>
      </c>
      <c r="E357" s="6"/>
      <c r="F357" s="16" t="str">
        <f aca="false">IF(OR(B357="Day",B357="Week"),"W"&amp;TEXT(WEEKNUM(A357,21),"00"),"")</f>
        <v>W42</v>
      </c>
      <c r="G357" s="16" t="str">
        <f aca="false">IF(OR(B357="Day",B357="Month"),TEXT(A357,"mmm yyyy"),"")</f>
        <v>Oct 2026</v>
      </c>
      <c r="H357" s="16" t="str">
        <f aca="false">IF(OR(B357="Day",B357="Month"),"Q"&amp;ROUNDUP(MONTH(A357)/3,0)&amp;" "&amp;YEAR(A357),"")</f>
        <v>Q4 2026</v>
      </c>
    </row>
    <row r="358" customFormat="false" ht="15" hidden="false" customHeight="true" outlineLevel="0" collapsed="false">
      <c r="A358" s="14" t="n">
        <v>46311</v>
      </c>
      <c r="B358" s="6" t="s">
        <v>82</v>
      </c>
      <c r="C358" s="6" t="s">
        <v>19</v>
      </c>
      <c r="D358" s="15" t="n">
        <v>10</v>
      </c>
      <c r="E358" s="6"/>
      <c r="F358" s="16" t="str">
        <f aca="false">IF(OR(B358="Day",B358="Week"),"W"&amp;TEXT(WEEKNUM(A358,21),"00"),"")</f>
        <v>W42</v>
      </c>
      <c r="G358" s="16" t="str">
        <f aca="false">IF(OR(B358="Day",B358="Month"),TEXT(A358,"mmm yyyy"),"")</f>
        <v>Oct 2026</v>
      </c>
      <c r="H358" s="16" t="str">
        <f aca="false">IF(OR(B358="Day",B358="Month"),"Q"&amp;ROUNDUP(MONTH(A358)/3,0)&amp;" "&amp;YEAR(A358),"")</f>
        <v>Q4 2026</v>
      </c>
    </row>
    <row r="359" customFormat="false" ht="15" hidden="false" customHeight="true" outlineLevel="0" collapsed="false">
      <c r="A359" s="14" t="n">
        <v>46311</v>
      </c>
      <c r="B359" s="6" t="s">
        <v>82</v>
      </c>
      <c r="C359" s="6" t="s">
        <v>21</v>
      </c>
      <c r="D359" s="15" t="n">
        <v>31</v>
      </c>
      <c r="E359" s="6"/>
      <c r="F359" s="16" t="str">
        <f aca="false">IF(OR(B359="Day",B359="Week"),"W"&amp;TEXT(WEEKNUM(A359,21),"00"),"")</f>
        <v>W42</v>
      </c>
      <c r="G359" s="16" t="str">
        <f aca="false">IF(OR(B359="Day",B359="Month"),TEXT(A359,"mmm yyyy"),"")</f>
        <v>Oct 2026</v>
      </c>
      <c r="H359" s="16" t="str">
        <f aca="false">IF(OR(B359="Day",B359="Month"),"Q"&amp;ROUNDUP(MONTH(A359)/3,0)&amp;" "&amp;YEAR(A359),"")</f>
        <v>Q4 2026</v>
      </c>
    </row>
    <row r="360" customFormat="false" ht="15" hidden="false" customHeight="true" outlineLevel="0" collapsed="false">
      <c r="A360" s="14" t="n">
        <v>46311</v>
      </c>
      <c r="B360" s="6" t="s">
        <v>82</v>
      </c>
      <c r="C360" s="6" t="s">
        <v>23</v>
      </c>
      <c r="D360" s="15" t="n">
        <v>20.9</v>
      </c>
      <c r="E360" s="6"/>
      <c r="F360" s="16" t="str">
        <f aca="false">IF(OR(B360="Day",B360="Week"),"W"&amp;TEXT(WEEKNUM(A360,21),"00"),"")</f>
        <v>W42</v>
      </c>
      <c r="G360" s="16" t="str">
        <f aca="false">IF(OR(B360="Day",B360="Month"),TEXT(A360,"mmm yyyy"),"")</f>
        <v>Oct 2026</v>
      </c>
      <c r="H360" s="16" t="str">
        <f aca="false">IF(OR(B360="Day",B360="Month"),"Q"&amp;ROUNDUP(MONTH(A360)/3,0)&amp;" "&amp;YEAR(A360),"")</f>
        <v>Q4 2026</v>
      </c>
    </row>
    <row r="361" customFormat="false" ht="15" hidden="false" customHeight="true" outlineLevel="0" collapsed="false">
      <c r="A361" s="14" t="n">
        <v>46311</v>
      </c>
      <c r="B361" s="6" t="s">
        <v>82</v>
      </c>
      <c r="C361" s="6" t="s">
        <v>27</v>
      </c>
      <c r="D361" s="15" t="n">
        <v>5189000</v>
      </c>
      <c r="E361" s="6"/>
      <c r="F361" s="16" t="str">
        <f aca="false">IF(OR(B361="Day",B361="Week"),"W"&amp;TEXT(WEEKNUM(A361,21),"00"),"")</f>
        <v>W42</v>
      </c>
      <c r="G361" s="16" t="str">
        <f aca="false">IF(OR(B361="Day",B361="Month"),TEXT(A361,"mmm yyyy"),"")</f>
        <v>Oct 2026</v>
      </c>
      <c r="H361" s="16" t="str">
        <f aca="false">IF(OR(B361="Day",B361="Month"),"Q"&amp;ROUNDUP(MONTH(A361)/3,0)&amp;" "&amp;YEAR(A361),"")</f>
        <v>Q4 2026</v>
      </c>
    </row>
    <row r="362" customFormat="false" ht="15" hidden="false" customHeight="true" outlineLevel="0" collapsed="false">
      <c r="A362" s="14" t="n">
        <v>46314</v>
      </c>
      <c r="B362" s="6" t="s">
        <v>82</v>
      </c>
      <c r="C362" s="6" t="s">
        <v>11</v>
      </c>
      <c r="D362" s="15" t="n">
        <v>59</v>
      </c>
      <c r="E362" s="6"/>
      <c r="F362" s="16" t="str">
        <f aca="false">IF(OR(B362="Day",B362="Week"),"W"&amp;TEXT(WEEKNUM(A362,21),"00"),"")</f>
        <v>W43</v>
      </c>
      <c r="G362" s="16" t="str">
        <f aca="false">IF(OR(B362="Day",B362="Month"),TEXT(A362,"mmm yyyy"),"")</f>
        <v>Oct 2026</v>
      </c>
      <c r="H362" s="16" t="str">
        <f aca="false">IF(OR(B362="Day",B362="Month"),"Q"&amp;ROUNDUP(MONTH(A362)/3,0)&amp;" "&amp;YEAR(A362),"")</f>
        <v>Q4 2026</v>
      </c>
    </row>
    <row r="363" customFormat="false" ht="15" hidden="false" customHeight="true" outlineLevel="0" collapsed="false">
      <c r="A363" s="14" t="n">
        <v>46314</v>
      </c>
      <c r="B363" s="6" t="s">
        <v>82</v>
      </c>
      <c r="C363" s="6" t="s">
        <v>15</v>
      </c>
      <c r="D363" s="15" t="n">
        <v>57</v>
      </c>
      <c r="E363" s="6"/>
      <c r="F363" s="16" t="str">
        <f aca="false">IF(OR(B363="Day",B363="Week"),"W"&amp;TEXT(WEEKNUM(A363,21),"00"),"")</f>
        <v>W43</v>
      </c>
      <c r="G363" s="16" t="str">
        <f aca="false">IF(OR(B363="Day",B363="Month"),TEXT(A363,"mmm yyyy"),"")</f>
        <v>Oct 2026</v>
      </c>
      <c r="H363" s="16" t="str">
        <f aca="false">IF(OR(B363="Day",B363="Month"),"Q"&amp;ROUNDUP(MONTH(A363)/3,0)&amp;" "&amp;YEAR(A363),"")</f>
        <v>Q4 2026</v>
      </c>
    </row>
    <row r="364" customFormat="false" ht="15" hidden="false" customHeight="true" outlineLevel="0" collapsed="false">
      <c r="A364" s="14" t="n">
        <v>46314</v>
      </c>
      <c r="B364" s="6" t="s">
        <v>82</v>
      </c>
      <c r="C364" s="6" t="s">
        <v>19</v>
      </c>
      <c r="D364" s="15" t="n">
        <v>10</v>
      </c>
      <c r="E364" s="6"/>
      <c r="F364" s="16" t="str">
        <f aca="false">IF(OR(B364="Day",B364="Week"),"W"&amp;TEXT(WEEKNUM(A364,21),"00"),"")</f>
        <v>W43</v>
      </c>
      <c r="G364" s="16" t="str">
        <f aca="false">IF(OR(B364="Day",B364="Month"),TEXT(A364,"mmm yyyy"),"")</f>
        <v>Oct 2026</v>
      </c>
      <c r="H364" s="16" t="str">
        <f aca="false">IF(OR(B364="Day",B364="Month"),"Q"&amp;ROUNDUP(MONTH(A364)/3,0)&amp;" "&amp;YEAR(A364),"")</f>
        <v>Q4 2026</v>
      </c>
    </row>
    <row r="365" customFormat="false" ht="15" hidden="false" customHeight="true" outlineLevel="0" collapsed="false">
      <c r="A365" s="14" t="n">
        <v>46314</v>
      </c>
      <c r="B365" s="6" t="s">
        <v>82</v>
      </c>
      <c r="C365" s="6" t="s">
        <v>21</v>
      </c>
      <c r="D365" s="15" t="n">
        <v>36</v>
      </c>
      <c r="E365" s="6"/>
      <c r="F365" s="16" t="str">
        <f aca="false">IF(OR(B365="Day",B365="Week"),"W"&amp;TEXT(WEEKNUM(A365,21),"00"),"")</f>
        <v>W43</v>
      </c>
      <c r="G365" s="16" t="str">
        <f aca="false">IF(OR(B365="Day",B365="Month"),TEXT(A365,"mmm yyyy"),"")</f>
        <v>Oct 2026</v>
      </c>
      <c r="H365" s="16" t="str">
        <f aca="false">IF(OR(B365="Day",B365="Month"),"Q"&amp;ROUNDUP(MONTH(A365)/3,0)&amp;" "&amp;YEAR(A365),"")</f>
        <v>Q4 2026</v>
      </c>
    </row>
    <row r="366" customFormat="false" ht="15" hidden="false" customHeight="true" outlineLevel="0" collapsed="false">
      <c r="A366" s="14" t="n">
        <v>46314</v>
      </c>
      <c r="B366" s="6" t="s">
        <v>82</v>
      </c>
      <c r="C366" s="6" t="s">
        <v>23</v>
      </c>
      <c r="D366" s="15" t="n">
        <v>25.3</v>
      </c>
      <c r="E366" s="6"/>
      <c r="F366" s="16" t="str">
        <f aca="false">IF(OR(B366="Day",B366="Week"),"W"&amp;TEXT(WEEKNUM(A366,21),"00"),"")</f>
        <v>W43</v>
      </c>
      <c r="G366" s="16" t="str">
        <f aca="false">IF(OR(B366="Day",B366="Month"),TEXT(A366,"mmm yyyy"),"")</f>
        <v>Oct 2026</v>
      </c>
      <c r="H366" s="16" t="str">
        <f aca="false">IF(OR(B366="Day",B366="Month"),"Q"&amp;ROUNDUP(MONTH(A366)/3,0)&amp;" "&amp;YEAR(A366),"")</f>
        <v>Q4 2026</v>
      </c>
    </row>
    <row r="367" customFormat="false" ht="15" hidden="false" customHeight="true" outlineLevel="0" collapsed="false">
      <c r="A367" s="14" t="n">
        <v>46314</v>
      </c>
      <c r="B367" s="6" t="s">
        <v>82</v>
      </c>
      <c r="C367" s="6" t="s">
        <v>27</v>
      </c>
      <c r="D367" s="15" t="n">
        <v>4778000</v>
      </c>
      <c r="E367" s="6"/>
      <c r="F367" s="16" t="str">
        <f aca="false">IF(OR(B367="Day",B367="Week"),"W"&amp;TEXT(WEEKNUM(A367,21),"00"),"")</f>
        <v>W43</v>
      </c>
      <c r="G367" s="16" t="str">
        <f aca="false">IF(OR(B367="Day",B367="Month"),TEXT(A367,"mmm yyyy"),"")</f>
        <v>Oct 2026</v>
      </c>
      <c r="H367" s="16" t="str">
        <f aca="false">IF(OR(B367="Day",B367="Month"),"Q"&amp;ROUNDUP(MONTH(A367)/3,0)&amp;" "&amp;YEAR(A367),"")</f>
        <v>Q4 2026</v>
      </c>
    </row>
    <row r="368" customFormat="false" ht="15" hidden="false" customHeight="true" outlineLevel="0" collapsed="false">
      <c r="A368" s="14" t="n">
        <v>46315</v>
      </c>
      <c r="B368" s="6" t="s">
        <v>82</v>
      </c>
      <c r="C368" s="6" t="s">
        <v>11</v>
      </c>
      <c r="D368" s="15" t="n">
        <v>58</v>
      </c>
      <c r="E368" s="6"/>
      <c r="F368" s="16" t="str">
        <f aca="false">IF(OR(B368="Day",B368="Week"),"W"&amp;TEXT(WEEKNUM(A368,21),"00"),"")</f>
        <v>W43</v>
      </c>
      <c r="G368" s="16" t="str">
        <f aca="false">IF(OR(B368="Day",B368="Month"),TEXT(A368,"mmm yyyy"),"")</f>
        <v>Oct 2026</v>
      </c>
      <c r="H368" s="16" t="str">
        <f aca="false">IF(OR(B368="Day",B368="Month"),"Q"&amp;ROUNDUP(MONTH(A368)/3,0)&amp;" "&amp;YEAR(A368),"")</f>
        <v>Q4 2026</v>
      </c>
    </row>
    <row r="369" customFormat="false" ht="15" hidden="false" customHeight="true" outlineLevel="0" collapsed="false">
      <c r="A369" s="14" t="n">
        <v>46315</v>
      </c>
      <c r="B369" s="6" t="s">
        <v>82</v>
      </c>
      <c r="C369" s="6" t="s">
        <v>15</v>
      </c>
      <c r="D369" s="15" t="n">
        <v>55</v>
      </c>
      <c r="E369" s="6"/>
      <c r="F369" s="16" t="str">
        <f aca="false">IF(OR(B369="Day",B369="Week"),"W"&amp;TEXT(WEEKNUM(A369,21),"00"),"")</f>
        <v>W43</v>
      </c>
      <c r="G369" s="16" t="str">
        <f aca="false">IF(OR(B369="Day",B369="Month"),TEXT(A369,"mmm yyyy"),"")</f>
        <v>Oct 2026</v>
      </c>
      <c r="H369" s="16" t="str">
        <f aca="false">IF(OR(B369="Day",B369="Month"),"Q"&amp;ROUNDUP(MONTH(A369)/3,0)&amp;" "&amp;YEAR(A369),"")</f>
        <v>Q4 2026</v>
      </c>
    </row>
    <row r="370" customFormat="false" ht="15" hidden="false" customHeight="true" outlineLevel="0" collapsed="false">
      <c r="A370" s="14" t="n">
        <v>46315</v>
      </c>
      <c r="B370" s="6" t="s">
        <v>82</v>
      </c>
      <c r="C370" s="6" t="s">
        <v>19</v>
      </c>
      <c r="D370" s="15" t="n">
        <v>10</v>
      </c>
      <c r="E370" s="6"/>
      <c r="F370" s="16" t="str">
        <f aca="false">IF(OR(B370="Day",B370="Week"),"W"&amp;TEXT(WEEKNUM(A370,21),"00"),"")</f>
        <v>W43</v>
      </c>
      <c r="G370" s="16" t="str">
        <f aca="false">IF(OR(B370="Day",B370="Month"),TEXT(A370,"mmm yyyy"),"")</f>
        <v>Oct 2026</v>
      </c>
      <c r="H370" s="16" t="str">
        <f aca="false">IF(OR(B370="Day",B370="Month"),"Q"&amp;ROUNDUP(MONTH(A370)/3,0)&amp;" "&amp;YEAR(A370),"")</f>
        <v>Q4 2026</v>
      </c>
    </row>
    <row r="371" customFormat="false" ht="15" hidden="false" customHeight="true" outlineLevel="0" collapsed="false">
      <c r="A371" s="14" t="n">
        <v>46315</v>
      </c>
      <c r="B371" s="6" t="s">
        <v>82</v>
      </c>
      <c r="C371" s="6" t="s">
        <v>21</v>
      </c>
      <c r="D371" s="15" t="n">
        <v>37</v>
      </c>
      <c r="E371" s="6"/>
      <c r="F371" s="16" t="str">
        <f aca="false">IF(OR(B371="Day",B371="Week"),"W"&amp;TEXT(WEEKNUM(A371,21),"00"),"")</f>
        <v>W43</v>
      </c>
      <c r="G371" s="16" t="str">
        <f aca="false">IF(OR(B371="Day",B371="Month"),TEXT(A371,"mmm yyyy"),"")</f>
        <v>Oct 2026</v>
      </c>
      <c r="H371" s="16" t="str">
        <f aca="false">IF(OR(B371="Day",B371="Month"),"Q"&amp;ROUNDUP(MONTH(A371)/3,0)&amp;" "&amp;YEAR(A371),"")</f>
        <v>Q4 2026</v>
      </c>
    </row>
    <row r="372" customFormat="false" ht="15" hidden="false" customHeight="true" outlineLevel="0" collapsed="false">
      <c r="A372" s="14" t="n">
        <v>46315</v>
      </c>
      <c r="B372" s="6" t="s">
        <v>82</v>
      </c>
      <c r="C372" s="6" t="s">
        <v>23</v>
      </c>
      <c r="D372" s="15" t="n">
        <v>19.9</v>
      </c>
      <c r="E372" s="6"/>
      <c r="F372" s="16" t="str">
        <f aca="false">IF(OR(B372="Day",B372="Week"),"W"&amp;TEXT(WEEKNUM(A372,21),"00"),"")</f>
        <v>W43</v>
      </c>
      <c r="G372" s="16" t="str">
        <f aca="false">IF(OR(B372="Day",B372="Month"),TEXT(A372,"mmm yyyy"),"")</f>
        <v>Oct 2026</v>
      </c>
      <c r="H372" s="16" t="str">
        <f aca="false">IF(OR(B372="Day",B372="Month"),"Q"&amp;ROUNDUP(MONTH(A372)/3,0)&amp;" "&amp;YEAR(A372),"")</f>
        <v>Q4 2026</v>
      </c>
    </row>
    <row r="373" customFormat="false" ht="15" hidden="false" customHeight="true" outlineLevel="0" collapsed="false">
      <c r="A373" s="14" t="n">
        <v>46315</v>
      </c>
      <c r="B373" s="6" t="s">
        <v>82</v>
      </c>
      <c r="C373" s="6" t="s">
        <v>27</v>
      </c>
      <c r="D373" s="15" t="n">
        <v>4913000</v>
      </c>
      <c r="E373" s="6"/>
      <c r="F373" s="16" t="str">
        <f aca="false">IF(OR(B373="Day",B373="Week"),"W"&amp;TEXT(WEEKNUM(A373,21),"00"),"")</f>
        <v>W43</v>
      </c>
      <c r="G373" s="16" t="str">
        <f aca="false">IF(OR(B373="Day",B373="Month"),TEXT(A373,"mmm yyyy"),"")</f>
        <v>Oct 2026</v>
      </c>
      <c r="H373" s="16" t="str">
        <f aca="false">IF(OR(B373="Day",B373="Month"),"Q"&amp;ROUNDUP(MONTH(A373)/3,0)&amp;" "&amp;YEAR(A373),"")</f>
        <v>Q4 2026</v>
      </c>
    </row>
    <row r="374" customFormat="false" ht="15" hidden="false" customHeight="true" outlineLevel="0" collapsed="false">
      <c r="A374" s="14" t="n">
        <v>46316</v>
      </c>
      <c r="B374" s="6" t="s">
        <v>82</v>
      </c>
      <c r="C374" s="6" t="s">
        <v>11</v>
      </c>
      <c r="D374" s="15" t="n">
        <v>64</v>
      </c>
      <c r="E374" s="6"/>
      <c r="F374" s="16" t="str">
        <f aca="false">IF(OR(B374="Day",B374="Week"),"W"&amp;TEXT(WEEKNUM(A374,21),"00"),"")</f>
        <v>W43</v>
      </c>
      <c r="G374" s="16" t="str">
        <f aca="false">IF(OR(B374="Day",B374="Month"),TEXT(A374,"mmm yyyy"),"")</f>
        <v>Oct 2026</v>
      </c>
      <c r="H374" s="16" t="str">
        <f aca="false">IF(OR(B374="Day",B374="Month"),"Q"&amp;ROUNDUP(MONTH(A374)/3,0)&amp;" "&amp;YEAR(A374),"")</f>
        <v>Q4 2026</v>
      </c>
    </row>
    <row r="375" customFormat="false" ht="15" hidden="false" customHeight="true" outlineLevel="0" collapsed="false">
      <c r="A375" s="14" t="n">
        <v>46316</v>
      </c>
      <c r="B375" s="6" t="s">
        <v>82</v>
      </c>
      <c r="C375" s="6" t="s">
        <v>15</v>
      </c>
      <c r="D375" s="15" t="n">
        <v>61</v>
      </c>
      <c r="E375" s="6"/>
      <c r="F375" s="16" t="str">
        <f aca="false">IF(OR(B375="Day",B375="Week"),"W"&amp;TEXT(WEEKNUM(A375,21),"00"),"")</f>
        <v>W43</v>
      </c>
      <c r="G375" s="16" t="str">
        <f aca="false">IF(OR(B375="Day",B375="Month"),TEXT(A375,"mmm yyyy"),"")</f>
        <v>Oct 2026</v>
      </c>
      <c r="H375" s="16" t="str">
        <f aca="false">IF(OR(B375="Day",B375="Month"),"Q"&amp;ROUNDUP(MONTH(A375)/3,0)&amp;" "&amp;YEAR(A375),"")</f>
        <v>Q4 2026</v>
      </c>
    </row>
    <row r="376" customFormat="false" ht="15" hidden="false" customHeight="true" outlineLevel="0" collapsed="false">
      <c r="A376" s="14" t="n">
        <v>46316</v>
      </c>
      <c r="B376" s="6" t="s">
        <v>82</v>
      </c>
      <c r="C376" s="6" t="s">
        <v>19</v>
      </c>
      <c r="D376" s="15" t="n">
        <v>11</v>
      </c>
      <c r="E376" s="6"/>
      <c r="F376" s="16" t="str">
        <f aca="false">IF(OR(B376="Day",B376="Week"),"W"&amp;TEXT(WEEKNUM(A376,21),"00"),"")</f>
        <v>W43</v>
      </c>
      <c r="G376" s="16" t="str">
        <f aca="false">IF(OR(B376="Day",B376="Month"),TEXT(A376,"mmm yyyy"),"")</f>
        <v>Oct 2026</v>
      </c>
      <c r="H376" s="16" t="str">
        <f aca="false">IF(OR(B376="Day",B376="Month"),"Q"&amp;ROUNDUP(MONTH(A376)/3,0)&amp;" "&amp;YEAR(A376),"")</f>
        <v>Q4 2026</v>
      </c>
    </row>
    <row r="377" customFormat="false" ht="15" hidden="false" customHeight="true" outlineLevel="0" collapsed="false">
      <c r="A377" s="14" t="n">
        <v>46316</v>
      </c>
      <c r="B377" s="6" t="s">
        <v>82</v>
      </c>
      <c r="C377" s="6" t="s">
        <v>21</v>
      </c>
      <c r="D377" s="15" t="n">
        <v>35</v>
      </c>
      <c r="E377" s="6"/>
      <c r="F377" s="16" t="str">
        <f aca="false">IF(OR(B377="Day",B377="Week"),"W"&amp;TEXT(WEEKNUM(A377,21),"00"),"")</f>
        <v>W43</v>
      </c>
      <c r="G377" s="16" t="str">
        <f aca="false">IF(OR(B377="Day",B377="Month"),TEXT(A377,"mmm yyyy"),"")</f>
        <v>Oct 2026</v>
      </c>
      <c r="H377" s="16" t="str">
        <f aca="false">IF(OR(B377="Day",B377="Month"),"Q"&amp;ROUNDUP(MONTH(A377)/3,0)&amp;" "&amp;YEAR(A377),"")</f>
        <v>Q4 2026</v>
      </c>
    </row>
    <row r="378" customFormat="false" ht="15" hidden="false" customHeight="true" outlineLevel="0" collapsed="false">
      <c r="A378" s="14" t="n">
        <v>46316</v>
      </c>
      <c r="B378" s="6" t="s">
        <v>82</v>
      </c>
      <c r="C378" s="6" t="s">
        <v>23</v>
      </c>
      <c r="D378" s="15" t="n">
        <v>19.3</v>
      </c>
      <c r="E378" s="6"/>
      <c r="F378" s="16" t="str">
        <f aca="false">IF(OR(B378="Day",B378="Week"),"W"&amp;TEXT(WEEKNUM(A378,21),"00"),"")</f>
        <v>W43</v>
      </c>
      <c r="G378" s="16" t="str">
        <f aca="false">IF(OR(B378="Day",B378="Month"),TEXT(A378,"mmm yyyy"),"")</f>
        <v>Oct 2026</v>
      </c>
      <c r="H378" s="16" t="str">
        <f aca="false">IF(OR(B378="Day",B378="Month"),"Q"&amp;ROUNDUP(MONTH(A378)/3,0)&amp;" "&amp;YEAR(A378),"")</f>
        <v>Q4 2026</v>
      </c>
    </row>
    <row r="379" customFormat="false" ht="15" hidden="false" customHeight="true" outlineLevel="0" collapsed="false">
      <c r="A379" s="14" t="n">
        <v>46316</v>
      </c>
      <c r="B379" s="6" t="s">
        <v>82</v>
      </c>
      <c r="C379" s="6" t="s">
        <v>27</v>
      </c>
      <c r="D379" s="15" t="n">
        <v>4819000</v>
      </c>
      <c r="E379" s="6"/>
      <c r="F379" s="16" t="str">
        <f aca="false">IF(OR(B379="Day",B379="Week"),"W"&amp;TEXT(WEEKNUM(A379,21),"00"),"")</f>
        <v>W43</v>
      </c>
      <c r="G379" s="16" t="str">
        <f aca="false">IF(OR(B379="Day",B379="Month"),TEXT(A379,"mmm yyyy"),"")</f>
        <v>Oct 2026</v>
      </c>
      <c r="H379" s="16" t="str">
        <f aca="false">IF(OR(B379="Day",B379="Month"),"Q"&amp;ROUNDUP(MONTH(A379)/3,0)&amp;" "&amp;YEAR(A379),"")</f>
        <v>Q4 2026</v>
      </c>
    </row>
    <row r="380" customFormat="false" ht="15" hidden="false" customHeight="true" outlineLevel="0" collapsed="false">
      <c r="A380" s="14" t="n">
        <v>46317</v>
      </c>
      <c r="B380" s="6" t="s">
        <v>82</v>
      </c>
      <c r="C380" s="6" t="s">
        <v>11</v>
      </c>
      <c r="D380" s="15" t="n">
        <v>60</v>
      </c>
      <c r="E380" s="6"/>
      <c r="F380" s="16" t="str">
        <f aca="false">IF(OR(B380="Day",B380="Week"),"W"&amp;TEXT(WEEKNUM(A380,21),"00"),"")</f>
        <v>W43</v>
      </c>
      <c r="G380" s="16" t="str">
        <f aca="false">IF(OR(B380="Day",B380="Month"),TEXT(A380,"mmm yyyy"),"")</f>
        <v>Oct 2026</v>
      </c>
      <c r="H380" s="16" t="str">
        <f aca="false">IF(OR(B380="Day",B380="Month"),"Q"&amp;ROUNDUP(MONTH(A380)/3,0)&amp;" "&amp;YEAR(A380),"")</f>
        <v>Q4 2026</v>
      </c>
    </row>
    <row r="381" customFormat="false" ht="15" hidden="false" customHeight="true" outlineLevel="0" collapsed="false">
      <c r="A381" s="14" t="n">
        <v>46317</v>
      </c>
      <c r="B381" s="6" t="s">
        <v>82</v>
      </c>
      <c r="C381" s="6" t="s">
        <v>15</v>
      </c>
      <c r="D381" s="15" t="n">
        <v>58</v>
      </c>
      <c r="E381" s="6"/>
      <c r="F381" s="16" t="str">
        <f aca="false">IF(OR(B381="Day",B381="Week"),"W"&amp;TEXT(WEEKNUM(A381,21),"00"),"")</f>
        <v>W43</v>
      </c>
      <c r="G381" s="16" t="str">
        <f aca="false">IF(OR(B381="Day",B381="Month"),TEXT(A381,"mmm yyyy"),"")</f>
        <v>Oct 2026</v>
      </c>
      <c r="H381" s="16" t="str">
        <f aca="false">IF(OR(B381="Day",B381="Month"),"Q"&amp;ROUNDUP(MONTH(A381)/3,0)&amp;" "&amp;YEAR(A381),"")</f>
        <v>Q4 2026</v>
      </c>
    </row>
    <row r="382" customFormat="false" ht="15" hidden="false" customHeight="true" outlineLevel="0" collapsed="false">
      <c r="A382" s="14" t="n">
        <v>46317</v>
      </c>
      <c r="B382" s="6" t="s">
        <v>82</v>
      </c>
      <c r="C382" s="6" t="s">
        <v>19</v>
      </c>
      <c r="D382" s="15" t="n">
        <v>10</v>
      </c>
      <c r="E382" s="6"/>
      <c r="F382" s="16" t="str">
        <f aca="false">IF(OR(B382="Day",B382="Week"),"W"&amp;TEXT(WEEKNUM(A382,21),"00"),"")</f>
        <v>W43</v>
      </c>
      <c r="G382" s="16" t="str">
        <f aca="false">IF(OR(B382="Day",B382="Month"),TEXT(A382,"mmm yyyy"),"")</f>
        <v>Oct 2026</v>
      </c>
      <c r="H382" s="16" t="str">
        <f aca="false">IF(OR(B382="Day",B382="Month"),"Q"&amp;ROUNDUP(MONTH(A382)/3,0)&amp;" "&amp;YEAR(A382),"")</f>
        <v>Q4 2026</v>
      </c>
    </row>
    <row r="383" customFormat="false" ht="15" hidden="false" customHeight="true" outlineLevel="0" collapsed="false">
      <c r="A383" s="14" t="n">
        <v>46317</v>
      </c>
      <c r="B383" s="6" t="s">
        <v>82</v>
      </c>
      <c r="C383" s="6" t="s">
        <v>21</v>
      </c>
      <c r="D383" s="15" t="n">
        <v>35</v>
      </c>
      <c r="E383" s="6"/>
      <c r="F383" s="16" t="str">
        <f aca="false">IF(OR(B383="Day",B383="Week"),"W"&amp;TEXT(WEEKNUM(A383,21),"00"),"")</f>
        <v>W43</v>
      </c>
      <c r="G383" s="16" t="str">
        <f aca="false">IF(OR(B383="Day",B383="Month"),TEXT(A383,"mmm yyyy"),"")</f>
        <v>Oct 2026</v>
      </c>
      <c r="H383" s="16" t="str">
        <f aca="false">IF(OR(B383="Day",B383="Month"),"Q"&amp;ROUNDUP(MONTH(A383)/3,0)&amp;" "&amp;YEAR(A383),"")</f>
        <v>Q4 2026</v>
      </c>
    </row>
    <row r="384" customFormat="false" ht="15" hidden="false" customHeight="true" outlineLevel="0" collapsed="false">
      <c r="A384" s="14" t="n">
        <v>46317</v>
      </c>
      <c r="B384" s="6" t="s">
        <v>82</v>
      </c>
      <c r="C384" s="6" t="s">
        <v>23</v>
      </c>
      <c r="D384" s="15" t="n">
        <v>18.4</v>
      </c>
      <c r="E384" s="6"/>
      <c r="F384" s="16" t="str">
        <f aca="false">IF(OR(B384="Day",B384="Week"),"W"&amp;TEXT(WEEKNUM(A384,21),"00"),"")</f>
        <v>W43</v>
      </c>
      <c r="G384" s="16" t="str">
        <f aca="false">IF(OR(B384="Day",B384="Month"),TEXT(A384,"mmm yyyy"),"")</f>
        <v>Oct 2026</v>
      </c>
      <c r="H384" s="16" t="str">
        <f aca="false">IF(OR(B384="Day",B384="Month"),"Q"&amp;ROUNDUP(MONTH(A384)/3,0)&amp;" "&amp;YEAR(A384),"")</f>
        <v>Q4 2026</v>
      </c>
    </row>
    <row r="385" customFormat="false" ht="15" hidden="false" customHeight="true" outlineLevel="0" collapsed="false">
      <c r="A385" s="14" t="n">
        <v>46317</v>
      </c>
      <c r="B385" s="6" t="s">
        <v>82</v>
      </c>
      <c r="C385" s="6" t="s">
        <v>27</v>
      </c>
      <c r="D385" s="15" t="n">
        <v>4823000</v>
      </c>
      <c r="E385" s="6"/>
      <c r="F385" s="16" t="str">
        <f aca="false">IF(OR(B385="Day",B385="Week"),"W"&amp;TEXT(WEEKNUM(A385,21),"00"),"")</f>
        <v>W43</v>
      </c>
      <c r="G385" s="16" t="str">
        <f aca="false">IF(OR(B385="Day",B385="Month"),TEXT(A385,"mmm yyyy"),"")</f>
        <v>Oct 2026</v>
      </c>
      <c r="H385" s="16" t="str">
        <f aca="false">IF(OR(B385="Day",B385="Month"),"Q"&amp;ROUNDUP(MONTH(A385)/3,0)&amp;" "&amp;YEAR(A385),"")</f>
        <v>Q4 2026</v>
      </c>
    </row>
    <row r="386" customFormat="false" ht="15" hidden="false" customHeight="true" outlineLevel="0" collapsed="false">
      <c r="A386" s="14" t="n">
        <v>46318</v>
      </c>
      <c r="B386" s="6" t="s">
        <v>82</v>
      </c>
      <c r="C386" s="6" t="s">
        <v>11</v>
      </c>
      <c r="D386" s="15" t="n">
        <v>61</v>
      </c>
      <c r="E386" s="6"/>
      <c r="F386" s="16" t="str">
        <f aca="false">IF(OR(B386="Day",B386="Week"),"W"&amp;TEXT(WEEKNUM(A386,21),"00"),"")</f>
        <v>W43</v>
      </c>
      <c r="G386" s="16" t="str">
        <f aca="false">IF(OR(B386="Day",B386="Month"),TEXT(A386,"mmm yyyy"),"")</f>
        <v>Oct 2026</v>
      </c>
      <c r="H386" s="16" t="str">
        <f aca="false">IF(OR(B386="Day",B386="Month"),"Q"&amp;ROUNDUP(MONTH(A386)/3,0)&amp;" "&amp;YEAR(A386),"")</f>
        <v>Q4 2026</v>
      </c>
    </row>
    <row r="387" customFormat="false" ht="15" hidden="false" customHeight="true" outlineLevel="0" collapsed="false">
      <c r="A387" s="14" t="n">
        <v>46318</v>
      </c>
      <c r="B387" s="6" t="s">
        <v>82</v>
      </c>
      <c r="C387" s="6" t="s">
        <v>15</v>
      </c>
      <c r="D387" s="15" t="n">
        <v>59</v>
      </c>
      <c r="E387" s="6"/>
      <c r="F387" s="16" t="str">
        <f aca="false">IF(OR(B387="Day",B387="Week"),"W"&amp;TEXT(WEEKNUM(A387,21),"00"),"")</f>
        <v>W43</v>
      </c>
      <c r="G387" s="16" t="str">
        <f aca="false">IF(OR(B387="Day",B387="Month"),TEXT(A387,"mmm yyyy"),"")</f>
        <v>Oct 2026</v>
      </c>
      <c r="H387" s="16" t="str">
        <f aca="false">IF(OR(B387="Day",B387="Month"),"Q"&amp;ROUNDUP(MONTH(A387)/3,0)&amp;" "&amp;YEAR(A387),"")</f>
        <v>Q4 2026</v>
      </c>
    </row>
    <row r="388" customFormat="false" ht="15" hidden="false" customHeight="true" outlineLevel="0" collapsed="false">
      <c r="A388" s="14" t="n">
        <v>46318</v>
      </c>
      <c r="B388" s="6" t="s">
        <v>82</v>
      </c>
      <c r="C388" s="6" t="s">
        <v>19</v>
      </c>
      <c r="D388" s="15" t="n">
        <v>10</v>
      </c>
      <c r="E388" s="6"/>
      <c r="F388" s="16" t="str">
        <f aca="false">IF(OR(B388="Day",B388="Week"),"W"&amp;TEXT(WEEKNUM(A388,21),"00"),"")</f>
        <v>W43</v>
      </c>
      <c r="G388" s="16" t="str">
        <f aca="false">IF(OR(B388="Day",B388="Month"),TEXT(A388,"mmm yyyy"),"")</f>
        <v>Oct 2026</v>
      </c>
      <c r="H388" s="16" t="str">
        <f aca="false">IF(OR(B388="Day",B388="Month"),"Q"&amp;ROUNDUP(MONTH(A388)/3,0)&amp;" "&amp;YEAR(A388),"")</f>
        <v>Q4 2026</v>
      </c>
    </row>
    <row r="389" customFormat="false" ht="15" hidden="false" customHeight="true" outlineLevel="0" collapsed="false">
      <c r="A389" s="14" t="n">
        <v>46318</v>
      </c>
      <c r="B389" s="6" t="s">
        <v>82</v>
      </c>
      <c r="C389" s="6" t="s">
        <v>21</v>
      </c>
      <c r="D389" s="15" t="n">
        <v>36</v>
      </c>
      <c r="E389" s="6"/>
      <c r="F389" s="16" t="str">
        <f aca="false">IF(OR(B389="Day",B389="Week"),"W"&amp;TEXT(WEEKNUM(A389,21),"00"),"")</f>
        <v>W43</v>
      </c>
      <c r="G389" s="16" t="str">
        <f aca="false">IF(OR(B389="Day",B389="Month"),TEXT(A389,"mmm yyyy"),"")</f>
        <v>Oct 2026</v>
      </c>
      <c r="H389" s="16" t="str">
        <f aca="false">IF(OR(B389="Day",B389="Month"),"Q"&amp;ROUNDUP(MONTH(A389)/3,0)&amp;" "&amp;YEAR(A389),"")</f>
        <v>Q4 2026</v>
      </c>
    </row>
    <row r="390" customFormat="false" ht="15" hidden="false" customHeight="true" outlineLevel="0" collapsed="false">
      <c r="A390" s="14" t="n">
        <v>46318</v>
      </c>
      <c r="B390" s="6" t="s">
        <v>82</v>
      </c>
      <c r="C390" s="6" t="s">
        <v>23</v>
      </c>
      <c r="D390" s="15" t="n">
        <v>24.7</v>
      </c>
      <c r="E390" s="6"/>
      <c r="F390" s="16" t="str">
        <f aca="false">IF(OR(B390="Day",B390="Week"),"W"&amp;TEXT(WEEKNUM(A390,21),"00"),"")</f>
        <v>W43</v>
      </c>
      <c r="G390" s="16" t="str">
        <f aca="false">IF(OR(B390="Day",B390="Month"),TEXT(A390,"mmm yyyy"),"")</f>
        <v>Oct 2026</v>
      </c>
      <c r="H390" s="16" t="str">
        <f aca="false">IF(OR(B390="Day",B390="Month"),"Q"&amp;ROUNDUP(MONTH(A390)/3,0)&amp;" "&amp;YEAR(A390),"")</f>
        <v>Q4 2026</v>
      </c>
    </row>
    <row r="391" customFormat="false" ht="15" hidden="false" customHeight="true" outlineLevel="0" collapsed="false">
      <c r="A391" s="14" t="n">
        <v>46318</v>
      </c>
      <c r="B391" s="6" t="s">
        <v>82</v>
      </c>
      <c r="C391" s="6" t="s">
        <v>27</v>
      </c>
      <c r="D391" s="15" t="n">
        <v>4840000</v>
      </c>
      <c r="E391" s="6"/>
      <c r="F391" s="16" t="str">
        <f aca="false">IF(OR(B391="Day",B391="Week"),"W"&amp;TEXT(WEEKNUM(A391,21),"00"),"")</f>
        <v>W43</v>
      </c>
      <c r="G391" s="16" t="str">
        <f aca="false">IF(OR(B391="Day",B391="Month"),TEXT(A391,"mmm yyyy"),"")</f>
        <v>Oct 2026</v>
      </c>
      <c r="H391" s="16" t="str">
        <f aca="false">IF(OR(B391="Day",B391="Month"),"Q"&amp;ROUNDUP(MONTH(A391)/3,0)&amp;" "&amp;YEAR(A391),"")</f>
        <v>Q4 2026</v>
      </c>
    </row>
    <row r="392" customFormat="false" ht="15" hidden="false" customHeight="true" outlineLevel="0" collapsed="false">
      <c r="A392" s="14" t="n">
        <v>46321</v>
      </c>
      <c r="B392" s="6" t="s">
        <v>82</v>
      </c>
      <c r="C392" s="6" t="s">
        <v>11</v>
      </c>
      <c r="D392" s="15" t="n">
        <v>65</v>
      </c>
      <c r="E392" s="6"/>
      <c r="F392" s="16" t="str">
        <f aca="false">IF(OR(B392="Day",B392="Week"),"W"&amp;TEXT(WEEKNUM(A392,21),"00"),"")</f>
        <v>W44</v>
      </c>
      <c r="G392" s="16" t="str">
        <f aca="false">IF(OR(B392="Day",B392="Month"),TEXT(A392,"mmm yyyy"),"")</f>
        <v>Oct 2026</v>
      </c>
      <c r="H392" s="16" t="str">
        <f aca="false">IF(OR(B392="Day",B392="Month"),"Q"&amp;ROUNDUP(MONTH(A392)/3,0)&amp;" "&amp;YEAR(A392),"")</f>
        <v>Q4 2026</v>
      </c>
    </row>
    <row r="393" customFormat="false" ht="15" hidden="false" customHeight="true" outlineLevel="0" collapsed="false">
      <c r="A393" s="14" t="n">
        <v>46321</v>
      </c>
      <c r="B393" s="6" t="s">
        <v>82</v>
      </c>
      <c r="C393" s="6" t="s">
        <v>15</v>
      </c>
      <c r="D393" s="15" t="n">
        <v>63</v>
      </c>
      <c r="E393" s="6"/>
      <c r="F393" s="16" t="str">
        <f aca="false">IF(OR(B393="Day",B393="Week"),"W"&amp;TEXT(WEEKNUM(A393,21),"00"),"")</f>
        <v>W44</v>
      </c>
      <c r="G393" s="16" t="str">
        <f aca="false">IF(OR(B393="Day",B393="Month"),TEXT(A393,"mmm yyyy"),"")</f>
        <v>Oct 2026</v>
      </c>
      <c r="H393" s="16" t="str">
        <f aca="false">IF(OR(B393="Day",B393="Month"),"Q"&amp;ROUNDUP(MONTH(A393)/3,0)&amp;" "&amp;YEAR(A393),"")</f>
        <v>Q4 2026</v>
      </c>
    </row>
    <row r="394" customFormat="false" ht="15" hidden="false" customHeight="true" outlineLevel="0" collapsed="false">
      <c r="A394" s="14" t="n">
        <v>46321</v>
      </c>
      <c r="B394" s="6" t="s">
        <v>82</v>
      </c>
      <c r="C394" s="6" t="s">
        <v>19</v>
      </c>
      <c r="D394" s="15" t="n">
        <v>11</v>
      </c>
      <c r="E394" s="6"/>
      <c r="F394" s="16" t="str">
        <f aca="false">IF(OR(B394="Day",B394="Week"),"W"&amp;TEXT(WEEKNUM(A394,21),"00"),"")</f>
        <v>W44</v>
      </c>
      <c r="G394" s="16" t="str">
        <f aca="false">IF(OR(B394="Day",B394="Month"),TEXT(A394,"mmm yyyy"),"")</f>
        <v>Oct 2026</v>
      </c>
      <c r="H394" s="16" t="str">
        <f aca="false">IF(OR(B394="Day",B394="Month"),"Q"&amp;ROUNDUP(MONTH(A394)/3,0)&amp;" "&amp;YEAR(A394),"")</f>
        <v>Q4 2026</v>
      </c>
    </row>
    <row r="395" customFormat="false" ht="15" hidden="false" customHeight="true" outlineLevel="0" collapsed="false">
      <c r="A395" s="14" t="n">
        <v>46321</v>
      </c>
      <c r="B395" s="6" t="s">
        <v>82</v>
      </c>
      <c r="C395" s="6" t="s">
        <v>21</v>
      </c>
      <c r="D395" s="15" t="n">
        <v>33</v>
      </c>
      <c r="E395" s="6"/>
      <c r="F395" s="16" t="str">
        <f aca="false">IF(OR(B395="Day",B395="Week"),"W"&amp;TEXT(WEEKNUM(A395,21),"00"),"")</f>
        <v>W44</v>
      </c>
      <c r="G395" s="16" t="str">
        <f aca="false">IF(OR(B395="Day",B395="Month"),TEXT(A395,"mmm yyyy"),"")</f>
        <v>Oct 2026</v>
      </c>
      <c r="H395" s="16" t="str">
        <f aca="false">IF(OR(B395="Day",B395="Month"),"Q"&amp;ROUNDUP(MONTH(A395)/3,0)&amp;" "&amp;YEAR(A395),"")</f>
        <v>Q4 2026</v>
      </c>
    </row>
    <row r="396" customFormat="false" ht="15" hidden="false" customHeight="true" outlineLevel="0" collapsed="false">
      <c r="A396" s="14" t="n">
        <v>46321</v>
      </c>
      <c r="B396" s="6" t="s">
        <v>82</v>
      </c>
      <c r="C396" s="6" t="s">
        <v>23</v>
      </c>
      <c r="D396" s="15" t="n">
        <v>25.3</v>
      </c>
      <c r="E396" s="6"/>
      <c r="F396" s="16" t="str">
        <f aca="false">IF(OR(B396="Day",B396="Week"),"W"&amp;TEXT(WEEKNUM(A396,21),"00"),"")</f>
        <v>W44</v>
      </c>
      <c r="G396" s="16" t="str">
        <f aca="false">IF(OR(B396="Day",B396="Month"),TEXT(A396,"mmm yyyy"),"")</f>
        <v>Oct 2026</v>
      </c>
      <c r="H396" s="16" t="str">
        <f aca="false">IF(OR(B396="Day",B396="Month"),"Q"&amp;ROUNDUP(MONTH(A396)/3,0)&amp;" "&amp;YEAR(A396),"")</f>
        <v>Q4 2026</v>
      </c>
    </row>
    <row r="397" customFormat="false" ht="15" hidden="false" customHeight="true" outlineLevel="0" collapsed="false">
      <c r="A397" s="14" t="n">
        <v>46321</v>
      </c>
      <c r="B397" s="6" t="s">
        <v>82</v>
      </c>
      <c r="C397" s="6" t="s">
        <v>27</v>
      </c>
      <c r="D397" s="15" t="n">
        <v>4831000</v>
      </c>
      <c r="E397" s="6"/>
      <c r="F397" s="16" t="str">
        <f aca="false">IF(OR(B397="Day",B397="Week"),"W"&amp;TEXT(WEEKNUM(A397,21),"00"),"")</f>
        <v>W44</v>
      </c>
      <c r="G397" s="16" t="str">
        <f aca="false">IF(OR(B397="Day",B397="Month"),TEXT(A397,"mmm yyyy"),"")</f>
        <v>Oct 2026</v>
      </c>
      <c r="H397" s="16" t="str">
        <f aca="false">IF(OR(B397="Day",B397="Month"),"Q"&amp;ROUNDUP(MONTH(A397)/3,0)&amp;" "&amp;YEAR(A397),"")</f>
        <v>Q4 2026</v>
      </c>
    </row>
    <row r="398" customFormat="false" ht="15" hidden="false" customHeight="true" outlineLevel="0" collapsed="false">
      <c r="A398" s="14" t="n">
        <v>46322</v>
      </c>
      <c r="B398" s="6" t="s">
        <v>82</v>
      </c>
      <c r="C398" s="6" t="s">
        <v>11</v>
      </c>
      <c r="D398" s="15" t="n">
        <v>57</v>
      </c>
      <c r="E398" s="6"/>
      <c r="F398" s="16" t="str">
        <f aca="false">IF(OR(B398="Day",B398="Week"),"W"&amp;TEXT(WEEKNUM(A398,21),"00"),"")</f>
        <v>W44</v>
      </c>
      <c r="G398" s="16" t="str">
        <f aca="false">IF(OR(B398="Day",B398="Month"),TEXT(A398,"mmm yyyy"),"")</f>
        <v>Oct 2026</v>
      </c>
      <c r="H398" s="16" t="str">
        <f aca="false">IF(OR(B398="Day",B398="Month"),"Q"&amp;ROUNDUP(MONTH(A398)/3,0)&amp;" "&amp;YEAR(A398),"")</f>
        <v>Q4 2026</v>
      </c>
    </row>
    <row r="399" customFormat="false" ht="15" hidden="false" customHeight="true" outlineLevel="0" collapsed="false">
      <c r="A399" s="14" t="n">
        <v>46322</v>
      </c>
      <c r="B399" s="6" t="s">
        <v>82</v>
      </c>
      <c r="C399" s="6" t="s">
        <v>15</v>
      </c>
      <c r="D399" s="15" t="n">
        <v>56</v>
      </c>
      <c r="E399" s="6"/>
      <c r="F399" s="16" t="str">
        <f aca="false">IF(OR(B399="Day",B399="Week"),"W"&amp;TEXT(WEEKNUM(A399,21),"00"),"")</f>
        <v>W44</v>
      </c>
      <c r="G399" s="16" t="str">
        <f aca="false">IF(OR(B399="Day",B399="Month"),TEXT(A399,"mmm yyyy"),"")</f>
        <v>Oct 2026</v>
      </c>
      <c r="H399" s="16" t="str">
        <f aca="false">IF(OR(B399="Day",B399="Month"),"Q"&amp;ROUNDUP(MONTH(A399)/3,0)&amp;" "&amp;YEAR(A399),"")</f>
        <v>Q4 2026</v>
      </c>
    </row>
    <row r="400" customFormat="false" ht="15" hidden="false" customHeight="true" outlineLevel="0" collapsed="false">
      <c r="A400" s="14" t="n">
        <v>46322</v>
      </c>
      <c r="B400" s="6" t="s">
        <v>82</v>
      </c>
      <c r="C400" s="6" t="s">
        <v>19</v>
      </c>
      <c r="D400" s="15" t="n">
        <v>10</v>
      </c>
      <c r="E400" s="6"/>
      <c r="F400" s="16" t="str">
        <f aca="false">IF(OR(B400="Day",B400="Week"),"W"&amp;TEXT(WEEKNUM(A400,21),"00"),"")</f>
        <v>W44</v>
      </c>
      <c r="G400" s="16" t="str">
        <f aca="false">IF(OR(B400="Day",B400="Month"),TEXT(A400,"mmm yyyy"),"")</f>
        <v>Oct 2026</v>
      </c>
      <c r="H400" s="16" t="str">
        <f aca="false">IF(OR(B400="Day",B400="Month"),"Q"&amp;ROUNDUP(MONTH(A400)/3,0)&amp;" "&amp;YEAR(A400),"")</f>
        <v>Q4 2026</v>
      </c>
    </row>
    <row r="401" customFormat="false" ht="15" hidden="false" customHeight="true" outlineLevel="0" collapsed="false">
      <c r="A401" s="14" t="n">
        <v>46322</v>
      </c>
      <c r="B401" s="6" t="s">
        <v>82</v>
      </c>
      <c r="C401" s="6" t="s">
        <v>21</v>
      </c>
      <c r="D401" s="15" t="n">
        <v>37</v>
      </c>
      <c r="E401" s="6"/>
      <c r="F401" s="16" t="str">
        <f aca="false">IF(OR(B401="Day",B401="Week"),"W"&amp;TEXT(WEEKNUM(A401,21),"00"),"")</f>
        <v>W44</v>
      </c>
      <c r="G401" s="16" t="str">
        <f aca="false">IF(OR(B401="Day",B401="Month"),TEXT(A401,"mmm yyyy"),"")</f>
        <v>Oct 2026</v>
      </c>
      <c r="H401" s="16" t="str">
        <f aca="false">IF(OR(B401="Day",B401="Month"),"Q"&amp;ROUNDUP(MONTH(A401)/3,0)&amp;" "&amp;YEAR(A401),"")</f>
        <v>Q4 2026</v>
      </c>
    </row>
    <row r="402" customFormat="false" ht="15" hidden="false" customHeight="true" outlineLevel="0" collapsed="false">
      <c r="A402" s="14" t="n">
        <v>46322</v>
      </c>
      <c r="B402" s="6" t="s">
        <v>82</v>
      </c>
      <c r="C402" s="6" t="s">
        <v>23</v>
      </c>
      <c r="D402" s="15" t="n">
        <v>19.3</v>
      </c>
      <c r="E402" s="6"/>
      <c r="F402" s="16" t="str">
        <f aca="false">IF(OR(B402="Day",B402="Week"),"W"&amp;TEXT(WEEKNUM(A402,21),"00"),"")</f>
        <v>W44</v>
      </c>
      <c r="G402" s="16" t="str">
        <f aca="false">IF(OR(B402="Day",B402="Month"),TEXT(A402,"mmm yyyy"),"")</f>
        <v>Oct 2026</v>
      </c>
      <c r="H402" s="16" t="str">
        <f aca="false">IF(OR(B402="Day",B402="Month"),"Q"&amp;ROUNDUP(MONTH(A402)/3,0)&amp;" "&amp;YEAR(A402),"")</f>
        <v>Q4 2026</v>
      </c>
    </row>
    <row r="403" customFormat="false" ht="15" hidden="false" customHeight="true" outlineLevel="0" collapsed="false">
      <c r="A403" s="14" t="n">
        <v>46322</v>
      </c>
      <c r="B403" s="6" t="s">
        <v>82</v>
      </c>
      <c r="C403" s="6" t="s">
        <v>27</v>
      </c>
      <c r="D403" s="15" t="n">
        <v>4758000</v>
      </c>
      <c r="E403" s="6"/>
      <c r="F403" s="16" t="str">
        <f aca="false">IF(OR(B403="Day",B403="Week"),"W"&amp;TEXT(WEEKNUM(A403,21),"00"),"")</f>
        <v>W44</v>
      </c>
      <c r="G403" s="16" t="str">
        <f aca="false">IF(OR(B403="Day",B403="Month"),TEXT(A403,"mmm yyyy"),"")</f>
        <v>Oct 2026</v>
      </c>
      <c r="H403" s="16" t="str">
        <f aca="false">IF(OR(B403="Day",B403="Month"),"Q"&amp;ROUNDUP(MONTH(A403)/3,0)&amp;" "&amp;YEAR(A403),"")</f>
        <v>Q4 2026</v>
      </c>
    </row>
    <row r="404" customFormat="false" ht="15" hidden="false" customHeight="true" outlineLevel="0" collapsed="false">
      <c r="A404" s="14" t="n">
        <v>46323</v>
      </c>
      <c r="B404" s="6" t="s">
        <v>82</v>
      </c>
      <c r="C404" s="6" t="s">
        <v>11</v>
      </c>
      <c r="D404" s="15" t="n">
        <v>64</v>
      </c>
      <c r="E404" s="6"/>
      <c r="F404" s="16" t="str">
        <f aca="false">IF(OR(B404="Day",B404="Week"),"W"&amp;TEXT(WEEKNUM(A404,21),"00"),"")</f>
        <v>W44</v>
      </c>
      <c r="G404" s="16" t="str">
        <f aca="false">IF(OR(B404="Day",B404="Month"),TEXT(A404,"mmm yyyy"),"")</f>
        <v>Oct 2026</v>
      </c>
      <c r="H404" s="16" t="str">
        <f aca="false">IF(OR(B404="Day",B404="Month"),"Q"&amp;ROUNDUP(MONTH(A404)/3,0)&amp;" "&amp;YEAR(A404),"")</f>
        <v>Q4 2026</v>
      </c>
    </row>
    <row r="405" customFormat="false" ht="15" hidden="false" customHeight="true" outlineLevel="0" collapsed="false">
      <c r="A405" s="14" t="n">
        <v>46323</v>
      </c>
      <c r="B405" s="6" t="s">
        <v>82</v>
      </c>
      <c r="C405" s="6" t="s">
        <v>15</v>
      </c>
      <c r="D405" s="15" t="n">
        <v>62</v>
      </c>
      <c r="E405" s="6"/>
      <c r="F405" s="16" t="str">
        <f aca="false">IF(OR(B405="Day",B405="Week"),"W"&amp;TEXT(WEEKNUM(A405,21),"00"),"")</f>
        <v>W44</v>
      </c>
      <c r="G405" s="16" t="str">
        <f aca="false">IF(OR(B405="Day",B405="Month"),TEXT(A405,"mmm yyyy"),"")</f>
        <v>Oct 2026</v>
      </c>
      <c r="H405" s="16" t="str">
        <f aca="false">IF(OR(B405="Day",B405="Month"),"Q"&amp;ROUNDUP(MONTH(A405)/3,0)&amp;" "&amp;YEAR(A405),"")</f>
        <v>Q4 2026</v>
      </c>
    </row>
    <row r="406" customFormat="false" ht="15" hidden="false" customHeight="true" outlineLevel="0" collapsed="false">
      <c r="A406" s="14" t="n">
        <v>46323</v>
      </c>
      <c r="B406" s="6" t="s">
        <v>82</v>
      </c>
      <c r="C406" s="6" t="s">
        <v>19</v>
      </c>
      <c r="D406" s="15" t="n">
        <v>11</v>
      </c>
      <c r="E406" s="6"/>
      <c r="F406" s="16" t="str">
        <f aca="false">IF(OR(B406="Day",B406="Week"),"W"&amp;TEXT(WEEKNUM(A406,21),"00"),"")</f>
        <v>W44</v>
      </c>
      <c r="G406" s="16" t="str">
        <f aca="false">IF(OR(B406="Day",B406="Month"),TEXT(A406,"mmm yyyy"),"")</f>
        <v>Oct 2026</v>
      </c>
      <c r="H406" s="16" t="str">
        <f aca="false">IF(OR(B406="Day",B406="Month"),"Q"&amp;ROUNDUP(MONTH(A406)/3,0)&amp;" "&amp;YEAR(A406),"")</f>
        <v>Q4 2026</v>
      </c>
    </row>
    <row r="407" customFormat="false" ht="15" hidden="false" customHeight="true" outlineLevel="0" collapsed="false">
      <c r="A407" s="14" t="n">
        <v>46323</v>
      </c>
      <c r="B407" s="6" t="s">
        <v>82</v>
      </c>
      <c r="C407" s="6" t="s">
        <v>21</v>
      </c>
      <c r="D407" s="15" t="n">
        <v>34</v>
      </c>
      <c r="E407" s="6"/>
      <c r="F407" s="16" t="str">
        <f aca="false">IF(OR(B407="Day",B407="Week"),"W"&amp;TEXT(WEEKNUM(A407,21),"00"),"")</f>
        <v>W44</v>
      </c>
      <c r="G407" s="16" t="str">
        <f aca="false">IF(OR(B407="Day",B407="Month"),TEXT(A407,"mmm yyyy"),"")</f>
        <v>Oct 2026</v>
      </c>
      <c r="H407" s="16" t="str">
        <f aca="false">IF(OR(B407="Day",B407="Month"),"Q"&amp;ROUNDUP(MONTH(A407)/3,0)&amp;" "&amp;YEAR(A407),"")</f>
        <v>Q4 2026</v>
      </c>
    </row>
    <row r="408" customFormat="false" ht="15" hidden="false" customHeight="true" outlineLevel="0" collapsed="false">
      <c r="A408" s="14" t="n">
        <v>46323</v>
      </c>
      <c r="B408" s="6" t="s">
        <v>82</v>
      </c>
      <c r="C408" s="6" t="s">
        <v>23</v>
      </c>
      <c r="D408" s="15" t="n">
        <v>23.2</v>
      </c>
      <c r="E408" s="6"/>
      <c r="F408" s="16" t="str">
        <f aca="false">IF(OR(B408="Day",B408="Week"),"W"&amp;TEXT(WEEKNUM(A408,21),"00"),"")</f>
        <v>W44</v>
      </c>
      <c r="G408" s="16" t="str">
        <f aca="false">IF(OR(B408="Day",B408="Month"),TEXT(A408,"mmm yyyy"),"")</f>
        <v>Oct 2026</v>
      </c>
      <c r="H408" s="16" t="str">
        <f aca="false">IF(OR(B408="Day",B408="Month"),"Q"&amp;ROUNDUP(MONTH(A408)/3,0)&amp;" "&amp;YEAR(A408),"")</f>
        <v>Q4 2026</v>
      </c>
    </row>
    <row r="409" customFormat="false" ht="15" hidden="false" customHeight="true" outlineLevel="0" collapsed="false">
      <c r="A409" s="14" t="n">
        <v>46323</v>
      </c>
      <c r="B409" s="6" t="s">
        <v>82</v>
      </c>
      <c r="C409" s="6" t="s">
        <v>27</v>
      </c>
      <c r="D409" s="15" t="n">
        <v>4711000</v>
      </c>
      <c r="E409" s="6"/>
      <c r="F409" s="16" t="str">
        <f aca="false">IF(OR(B409="Day",B409="Week"),"W"&amp;TEXT(WEEKNUM(A409,21),"00"),"")</f>
        <v>W44</v>
      </c>
      <c r="G409" s="16" t="str">
        <f aca="false">IF(OR(B409="Day",B409="Month"),TEXT(A409,"mmm yyyy"),"")</f>
        <v>Oct 2026</v>
      </c>
      <c r="H409" s="16" t="str">
        <f aca="false">IF(OR(B409="Day",B409="Month"),"Q"&amp;ROUNDUP(MONTH(A409)/3,0)&amp;" "&amp;YEAR(A409),"")</f>
        <v>Q4 2026</v>
      </c>
    </row>
    <row r="410" customFormat="false" ht="15" hidden="false" customHeight="true" outlineLevel="0" collapsed="false">
      <c r="A410" s="14" t="n">
        <v>46324</v>
      </c>
      <c r="B410" s="6" t="s">
        <v>82</v>
      </c>
      <c r="C410" s="6" t="s">
        <v>11</v>
      </c>
      <c r="D410" s="15" t="n">
        <v>66</v>
      </c>
      <c r="E410" s="6"/>
      <c r="F410" s="16" t="str">
        <f aca="false">IF(OR(B410="Day",B410="Week"),"W"&amp;TEXT(WEEKNUM(A410,21),"00"),"")</f>
        <v>W44</v>
      </c>
      <c r="G410" s="16" t="str">
        <f aca="false">IF(OR(B410="Day",B410="Month"),TEXT(A410,"mmm yyyy"),"")</f>
        <v>Oct 2026</v>
      </c>
      <c r="H410" s="16" t="str">
        <f aca="false">IF(OR(B410="Day",B410="Month"),"Q"&amp;ROUNDUP(MONTH(A410)/3,0)&amp;" "&amp;YEAR(A410),"")</f>
        <v>Q4 2026</v>
      </c>
    </row>
    <row r="411" customFormat="false" ht="15" hidden="false" customHeight="true" outlineLevel="0" collapsed="false">
      <c r="A411" s="14" t="n">
        <v>46324</v>
      </c>
      <c r="B411" s="6" t="s">
        <v>82</v>
      </c>
      <c r="C411" s="6" t="s">
        <v>15</v>
      </c>
      <c r="D411" s="15" t="n">
        <v>64</v>
      </c>
      <c r="E411" s="6"/>
      <c r="F411" s="16" t="str">
        <f aca="false">IF(OR(B411="Day",B411="Week"),"W"&amp;TEXT(WEEKNUM(A411,21),"00"),"")</f>
        <v>W44</v>
      </c>
      <c r="G411" s="16" t="str">
        <f aca="false">IF(OR(B411="Day",B411="Month"),TEXT(A411,"mmm yyyy"),"")</f>
        <v>Oct 2026</v>
      </c>
      <c r="H411" s="16" t="str">
        <f aca="false">IF(OR(B411="Day",B411="Month"),"Q"&amp;ROUNDUP(MONTH(A411)/3,0)&amp;" "&amp;YEAR(A411),"")</f>
        <v>Q4 2026</v>
      </c>
    </row>
    <row r="412" customFormat="false" ht="15" hidden="false" customHeight="true" outlineLevel="0" collapsed="false">
      <c r="A412" s="14" t="n">
        <v>46324</v>
      </c>
      <c r="B412" s="6" t="s">
        <v>82</v>
      </c>
      <c r="C412" s="6" t="s">
        <v>19</v>
      </c>
      <c r="D412" s="15" t="n">
        <v>10</v>
      </c>
      <c r="E412" s="6"/>
      <c r="F412" s="16" t="str">
        <f aca="false">IF(OR(B412="Day",B412="Week"),"W"&amp;TEXT(WEEKNUM(A412,21),"00"),"")</f>
        <v>W44</v>
      </c>
      <c r="G412" s="16" t="str">
        <f aca="false">IF(OR(B412="Day",B412="Month"),TEXT(A412,"mmm yyyy"),"")</f>
        <v>Oct 2026</v>
      </c>
      <c r="H412" s="16" t="str">
        <f aca="false">IF(OR(B412="Day",B412="Month"),"Q"&amp;ROUNDUP(MONTH(A412)/3,0)&amp;" "&amp;YEAR(A412),"")</f>
        <v>Q4 2026</v>
      </c>
    </row>
    <row r="413" customFormat="false" ht="15" hidden="false" customHeight="true" outlineLevel="0" collapsed="false">
      <c r="A413" s="14" t="n">
        <v>46324</v>
      </c>
      <c r="B413" s="6" t="s">
        <v>82</v>
      </c>
      <c r="C413" s="6" t="s">
        <v>21</v>
      </c>
      <c r="D413" s="15" t="n">
        <v>31</v>
      </c>
      <c r="E413" s="6"/>
      <c r="F413" s="16" t="str">
        <f aca="false">IF(OR(B413="Day",B413="Week"),"W"&amp;TEXT(WEEKNUM(A413,21),"00"),"")</f>
        <v>W44</v>
      </c>
      <c r="G413" s="16" t="str">
        <f aca="false">IF(OR(B413="Day",B413="Month"),TEXT(A413,"mmm yyyy"),"")</f>
        <v>Oct 2026</v>
      </c>
      <c r="H413" s="16" t="str">
        <f aca="false">IF(OR(B413="Day",B413="Month"),"Q"&amp;ROUNDUP(MONTH(A413)/3,0)&amp;" "&amp;YEAR(A413),"")</f>
        <v>Q4 2026</v>
      </c>
    </row>
    <row r="414" customFormat="false" ht="15" hidden="false" customHeight="true" outlineLevel="0" collapsed="false">
      <c r="A414" s="14" t="n">
        <v>46324</v>
      </c>
      <c r="B414" s="6" t="s">
        <v>82</v>
      </c>
      <c r="C414" s="6" t="s">
        <v>23</v>
      </c>
      <c r="D414" s="15" t="n">
        <v>21.6</v>
      </c>
      <c r="E414" s="6"/>
      <c r="F414" s="16" t="str">
        <f aca="false">IF(OR(B414="Day",B414="Week"),"W"&amp;TEXT(WEEKNUM(A414,21),"00"),"")</f>
        <v>W44</v>
      </c>
      <c r="G414" s="16" t="str">
        <f aca="false">IF(OR(B414="Day",B414="Month"),TEXT(A414,"mmm yyyy"),"")</f>
        <v>Oct 2026</v>
      </c>
      <c r="H414" s="16" t="str">
        <f aca="false">IF(OR(B414="Day",B414="Month"),"Q"&amp;ROUNDUP(MONTH(A414)/3,0)&amp;" "&amp;YEAR(A414),"")</f>
        <v>Q4 2026</v>
      </c>
    </row>
    <row r="415" customFormat="false" ht="15" hidden="false" customHeight="true" outlineLevel="0" collapsed="false">
      <c r="A415" s="14" t="n">
        <v>46324</v>
      </c>
      <c r="B415" s="6" t="s">
        <v>82</v>
      </c>
      <c r="C415" s="6" t="s">
        <v>27</v>
      </c>
      <c r="D415" s="15" t="n">
        <v>5155000</v>
      </c>
      <c r="E415" s="6"/>
      <c r="F415" s="16" t="str">
        <f aca="false">IF(OR(B415="Day",B415="Week"),"W"&amp;TEXT(WEEKNUM(A415,21),"00"),"")</f>
        <v>W44</v>
      </c>
      <c r="G415" s="16" t="str">
        <f aca="false">IF(OR(B415="Day",B415="Month"),TEXT(A415,"mmm yyyy"),"")</f>
        <v>Oct 2026</v>
      </c>
      <c r="H415" s="16" t="str">
        <f aca="false">IF(OR(B415="Day",B415="Month"),"Q"&amp;ROUNDUP(MONTH(A415)/3,0)&amp;" "&amp;YEAR(A415),"")</f>
        <v>Q4 2026</v>
      </c>
    </row>
  </sheetData>
  <dataValidations count="2">
    <dataValidation allowBlank="false" errorStyle="stop" operator="between" showDropDown="false" showErrorMessage="false" showInputMessage="false" sqref="C2:C1415" type="list">
      <formula1>KPIs!$A$2:$A$100</formula1>
      <formula2>0</formula2>
    </dataValidation>
    <dataValidation allowBlank="false" errorStyle="stop" operator="between" showDropDown="false" showErrorMessage="false" showInputMessage="false" sqref="B2:B1415" type="list">
      <formula1>"Day,Week,Month"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2026-10-29T17:32:46Z</dcterms:created>
  <dc:creator>openpyxl</dc:creator>
  <dc:description/>
  <dc:language>en-US</dc:language>
  <cp:lastModifiedBy/>
  <dcterms:modified xsi:type="dcterms:W3CDTF">2026-10-29T17:51:03Z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