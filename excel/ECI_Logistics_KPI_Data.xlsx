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KPIs" sheetId="2" state="visible" r:id="rId4"/>
    <sheet name="Targets" sheetId="3" state="visible" r:id="rId5"/>
    <sheet name="Data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" authorId="0">
      <text>
        <r>
          <rPr>
            <sz val="10"/>
            <rFont val="Arial"/>
            <family val="2"/>
          </rPr>
          <t xml:space="preserve">Sum / Average / Last / Ratio – see Instructions</t>
        </r>
      </text>
    </comment>
    <comment ref="F1" authorId="0">
      <text>
        <r>
          <rPr>
            <sz val="10"/>
            <rFont val="Arial"/>
            <family val="2"/>
          </rPr>
          <t xml:space="preserve">Default budget, used when the Targets sheet has no budget for that period.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Day: that day. Week: any day of the week (Monday is clearest). Month: the 1st. Quarter: 1st day of the quarter.</t>
        </r>
      </text>
    </comment>
    <comment ref="D1" authorId="0">
      <text>
        <r>
          <rPr>
            <sz val="10"/>
            <rFont val="Arial"/>
            <family val="2"/>
          </rPr>
          <t xml:space="preserve">Budget for the period. Percentages as 0.95. Edit any time.</t>
        </r>
      </text>
    </comment>
    <comment ref="E1" authorId="0">
      <text>
        <r>
          <rPr>
            <sz val="10"/>
            <rFont val="Arial"/>
            <family val="2"/>
          </rPr>
          <t xml:space="preserve">Latest forecast for the period – update it as often as you like. Leave empty if none.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Day: that day. Week: the Monday. Month: the 1st.</t>
        </r>
      </text>
    </comment>
    <comment ref="F1" authorId="0">
      <text>
        <r>
          <rPr>
            <sz val="10"/>
            <rFont val="Arial"/>
            <family val="2"/>
          </rPr>
          <t xml:space="preserve">Calculated – do not type here</t>
        </r>
      </text>
    </comment>
  </commentList>
</comments>
</file>

<file path=xl/sharedStrings.xml><?xml version="1.0" encoding="utf-8"?>
<sst xmlns="http://schemas.openxmlformats.org/spreadsheetml/2006/main" count="137" uniqueCount="76">
  <si>
    <t xml:space="preserve">ECI Morocco – Logistics KPI data (upload file)</t>
  </si>
  <si>
    <t xml:space="preserve">How it works</t>
  </si>
  <si>
    <t xml:space="preserve">1. KPIs sheet: one row per KPI – name, unit, how it combines, target. Set it up once.</t>
  </si>
  <si>
    <t xml:space="preserve">2. Data sheet: one row per KPI per period. Add new rows at the bottom every day.</t>
  </si>
  <si>
    <t xml:space="preserve">3. Open the dashboard page, click 'Load Excel' and pick this file.</t>
  </si>
  <si>
    <t xml:space="preserve">Data sheet – the Level column</t>
  </si>
  <si>
    <t xml:space="preserve">Day   = a daily value. Date = that day (e.g. 29/10/2026 → counts in W44, October, Q4).</t>
  </si>
  <si>
    <t xml:space="preserve">Week  = back data for a whole week. Date = the Monday of that week (ISO week).</t>
  </si>
  <si>
    <t xml:space="preserve">Month = back data for a whole month. Date = the 1st of that month.</t>
  </si>
  <si>
    <t xml:space="preserve">Once a period has Day rows, the page builds it from the days and ignores the Week/Month row.</t>
  </si>
  <si>
    <t xml:space="preserve">Old Week rows feed only the weekly view; old Month rows feed the monthly and quarterly views.</t>
  </si>
  <si>
    <t xml:space="preserve">KPIs sheet – the Combine column</t>
  </si>
  <si>
    <t xml:space="preserve">Sum      – days add up (shipments, trucks, receptions).</t>
  </si>
  <si>
    <t xml:space="preserve">Average  – average of the days (dock-to-stock time, lead time).</t>
  </si>
  <si>
    <t xml:space="preserve">Last     – latest value in the period (stock value, pallets in stock).</t>
  </si>
  <si>
    <t xml:space="preserve">Ratio    – calculated, no data rows: Numerator KPI ÷ Denominator KPI (OTIF, fill rate).</t>
  </si>
  <si>
    <t xml:space="preserve">Rules</t>
  </si>
  <si>
    <t xml:space="preserve">• Only fill the yellow columns. Grey columns (Week / Month / Quarter) calculate themselves.</t>
  </si>
  <si>
    <t xml:space="preserve">• KPI names in Data must match the KPIs sheet exactly (use the dropdown).</t>
  </si>
  <si>
    <t xml:space="preserve">• Value = a plain number. Percentages as 0.95, not 95%.</t>
  </si>
  <si>
    <t xml:space="preserve">• Weeks start Monday (ISO). Quarters are calendar quarters (Q4 = Oct–Dec).</t>
  </si>
  <si>
    <t xml:space="preserve">• Keep sheet names and column headers as they are – the page reads them.</t>
  </si>
  <si>
    <t xml:space="preserve">• The example rows and KPIs are placeholders: replace them with your own.</t>
  </si>
  <si>
    <t xml:space="preserve">Targets sheet – budget and forecast (edit any time)</t>
  </si>
  <si>
    <t xml:space="preserve">One row per KPI per period: Date · Level (Day / Week / Month / Quarter) · KPI · Budget · Forecast. Fill one or both.</t>
  </si>
  <si>
    <t xml:space="preserve">Data sheet = the daily updates (actuals). Targets sheet = what you plan. Both live in this same file.</t>
  </si>
  <si>
    <t xml:space="preserve">On the page, 'vs Budget' / 'vs Forecast' chooses what the status colours and dashed lines compare with.</t>
  </si>
  <si>
    <t xml:space="preserve">Sum KPIs (shipments, lines…): a Month or Week figure is spread over its working days (Mon–Fri); weeks, months and quarters add the days up.</t>
  </si>
  <si>
    <t xml:space="preserve">For a period still running, the page compares with the budget / forecast to date (working days up to the last data date).</t>
  </si>
  <si>
    <t xml:space="preserve">Average / Last / Ratio KPIs (OTIF, fill rate, stock…): the most precise row that covers the period is used – Day, Week, Month, then Quarter.</t>
  </si>
  <si>
    <t xml:space="preserve">No budget row for a period → the Target on the KPIs sheet is used as default budget. Leave it empty for Sum KPIs.</t>
  </si>
  <si>
    <t xml:space="preserve">KPI</t>
  </si>
  <si>
    <t xml:space="preserve">Unit</t>
  </si>
  <si>
    <t xml:space="preserve">Combine</t>
  </si>
  <si>
    <t xml:space="preserve">Numerator KPI</t>
  </si>
  <si>
    <t xml:space="preserve">Denominator KPI</t>
  </si>
  <si>
    <t xml:space="preserve">Target</t>
  </si>
  <si>
    <t xml:space="preserve">Better</t>
  </si>
  <si>
    <t xml:space="preserve">Shipments</t>
  </si>
  <si>
    <t xml:space="preserve">shipments</t>
  </si>
  <si>
    <t xml:space="preserve">Sum</t>
  </si>
  <si>
    <t xml:space="preserve">Higher</t>
  </si>
  <si>
    <t xml:space="preserve">Shipments on time</t>
  </si>
  <si>
    <t xml:space="preserve">OTIF</t>
  </si>
  <si>
    <t xml:space="preserve">%</t>
  </si>
  <si>
    <t xml:space="preserve">Ratio</t>
  </si>
  <si>
    <t xml:space="preserve">Trucks loaded</t>
  </si>
  <si>
    <t xml:space="preserve">trucks</t>
  </si>
  <si>
    <t xml:space="preserve">Receptions</t>
  </si>
  <si>
    <t xml:space="preserve">receptions</t>
  </si>
  <si>
    <t xml:space="preserve">Dock-to-stock time</t>
  </si>
  <si>
    <t xml:space="preserve">hours</t>
  </si>
  <si>
    <t xml:space="preserve">Average</t>
  </si>
  <si>
    <t xml:space="preserve">Lower</t>
  </si>
  <si>
    <t xml:space="preserve">Stock value</t>
  </si>
  <si>
    <t xml:space="preserve">MAD</t>
  </si>
  <si>
    <t xml:space="preserve">Last</t>
  </si>
  <si>
    <t xml:space="preserve">Date</t>
  </si>
  <si>
    <t xml:space="preserve">Level</t>
  </si>
  <si>
    <t xml:space="preserve">Budget</t>
  </si>
  <si>
    <t xml:space="preserve">Forecast</t>
  </si>
  <si>
    <t xml:space="preserve">Comment</t>
  </si>
  <si>
    <t xml:space="preserve">Period</t>
  </si>
  <si>
    <t xml:space="preserve">Month</t>
  </si>
  <si>
    <t xml:space="preserve">October</t>
  </si>
  <si>
    <t xml:space="preserve">November</t>
  </si>
  <si>
    <t xml:space="preserve">December – no forecast yet</t>
  </si>
  <si>
    <t xml:space="preserve">Quarter</t>
  </si>
  <si>
    <t xml:space="preserve">Q4</t>
  </si>
  <si>
    <t xml:space="preserve">Week</t>
  </si>
  <si>
    <t xml:space="preserve">W44</t>
  </si>
  <si>
    <t xml:space="preserve">Value</t>
  </si>
  <si>
    <t xml:space="preserve">Back data</t>
  </si>
  <si>
    <t xml:space="preserve">Back data W43</t>
  </si>
  <si>
    <t xml:space="preserve">Day</t>
  </si>
  <si>
    <t xml:space="preserve">Example comment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</si>
</sst>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%"/>
    <numFmt numFmtId="166" formatCode="dd/mm/yyyy"/>
    <numFmt numFmtId="167" formatCode="#,##0"/>
    <numFmt numFmtId="168" formatCode="0.0%"/>
    <numFmt numFmtId="169" formatCode="#,##0.##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B2545"/>
      <name val="Arial"/>
      <family val="0"/>
      <charset val="1"/>
    </font>
    <font>
      <sz val="11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2"/>
    </font>
    <font>
      <sz val="11"/>
      <color rgb="FF4A5568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B2545"/>
        <bgColor rgb="FF333333"/>
      </patternFill>
    </fill>
    <fill>
      <patternFill patternType="solid">
        <fgColor rgb="FFFFF7D6"/>
        <bgColor rgb="FFEEF1F6"/>
      </patternFill>
    </fill>
    <fill>
      <patternFill patternType="solid">
        <fgColor rgb="FFEEF1F6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0B2545"/>
          <bgColor rgb="FF000000"/>
        </patternFill>
      </fill>
    </dxf>
    <dxf>
      <fill>
        <patternFill patternType="solid">
          <fgColor rgb="FFFFF7D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EF1F6"/>
          <bgColor rgb="FF000000"/>
        </patternFill>
      </fill>
    </dxf>
    <dxf>
      <fill>
        <patternFill patternType="solid">
          <fgColor rgb="FF4A5568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7D6"/>
      <rgbColor rgb="FFEEF1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5568"/>
      <rgbColor rgb="FF969696"/>
      <rgbColor rgb="FF0B2545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Data" displayName="Data" ref="A1:H17" headerRowCount="1" totalsRowCount="0" totalsRowShown="0">
  <autoFilter ref="A1:H17"/>
  <tableColumns count="8">
    <tableColumn id="1" name="Date"/>
    <tableColumn id="2" name="Level"/>
    <tableColumn id="3" name="KPI"/>
    <tableColumn id="4" name="Value"/>
    <tableColumn id="5" name="Comment"/>
    <tableColumn id="6" name="Week"/>
    <tableColumn id="7" name="Month"/>
    <tableColumn id="8" name="Quarter"/>
  </tableColumns>
</table>
</file>

<file path=xl/tables/table2.xml><?xml version="1.0" encoding="utf-8"?>
<table xmlns="http://schemas.openxmlformats.org/spreadsheetml/2006/main" id="2" name="KPIs" displayName="KPIs" ref="A1:G8" headerRowCount="1" totalsRowCount="0" totalsRowShown="0">
  <autoFilter ref="A1:G8"/>
  <tableColumns count="7">
    <tableColumn id="1" name="KPI"/>
    <tableColumn id="2" name="Unit"/>
    <tableColumn id="3" name="Combine"/>
    <tableColumn id="4" name="Numerator KPI"/>
    <tableColumn id="5" name="Denominator KPI"/>
    <tableColumn id="6" name="Target"/>
    <tableColumn id="7" name="Better"/>
  </tableColumns>
</table>
</file>

<file path=xl/tables/table3.xml><?xml version="1.0" encoding="utf-8"?>
<table xmlns="http://schemas.openxmlformats.org/spreadsheetml/2006/main" id="3" name="Targets" displayName="Targets" ref="A1:G6" headerRowCount="1" totalsRowCount="0" totalsRowShown="0">
  <autoFilter ref="A1:G6"/>
  <tableColumns count="7">
    <tableColumn id="1" name="Date"/>
    <tableColumn id="2" name="Level"/>
    <tableColumn id="3" name="KPI"/>
    <tableColumn id="4" name="Budget"/>
    <tableColumn id="5" name="Forecast"/>
    <tableColumn id="6" name="Comment"/>
    <tableColumn id="7" name="Period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<Relationship Id="rId3" Type="http://schemas.openxmlformats.org/officeDocument/2006/relationships/table" Target="../tables/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<Relationship Id="rId3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/>
    </row>
    <row r="21" customFormat="false" ht="15" hidden="false" customHeight="false" outlineLevel="0" collapsed="false">
      <c r="A21" s="3" t="s">
        <v>16</v>
      </c>
    </row>
    <row r="22" customFormat="false" ht="15" hidden="false" customHeight="false" outlineLevel="0" collapsed="false">
      <c r="A22" s="2" t="s">
        <v>17</v>
      </c>
    </row>
    <row r="23" customFormat="false" ht="15" hidden="false" customHeight="false" outlineLevel="0" collapsed="false">
      <c r="A23" s="2" t="s">
        <v>18</v>
      </c>
    </row>
    <row r="24" customFormat="false" ht="15" hidden="false" customHeight="false" outlineLevel="0" collapsed="false">
      <c r="A24" s="2" t="s">
        <v>19</v>
      </c>
    </row>
    <row r="25" customFormat="false" ht="15" hidden="false" customHeight="false" outlineLevel="0" collapsed="false">
      <c r="A25" s="2" t="s">
        <v>20</v>
      </c>
    </row>
    <row r="26" customFormat="false" ht="15" hidden="false" customHeight="false" outlineLevel="0" collapsed="false">
      <c r="A26" s="2" t="s">
        <v>21</v>
      </c>
    </row>
    <row r="27" customFormat="false" ht="15" hidden="false" customHeight="false" outlineLevel="0" collapsed="false">
      <c r="A27" s="2" t="s">
        <v>22</v>
      </c>
    </row>
    <row r="29" customFormat="false" ht="15" hidden="false" customHeight="false" outlineLevel="0" collapsed="false">
      <c r="A29" s="3" t="s">
        <v>23</v>
      </c>
    </row>
    <row r="30" customFormat="false" ht="15" hidden="false" customHeight="false" outlineLevel="0" collapsed="false">
      <c r="A30" s="2" t="s">
        <v>24</v>
      </c>
    </row>
    <row r="31" customFormat="false" ht="15" hidden="false" customHeight="false" outlineLevel="0" collapsed="false">
      <c r="A31" s="2" t="s">
        <v>25</v>
      </c>
    </row>
    <row r="32" customFormat="false" ht="15" hidden="false" customHeight="false" outlineLevel="0" collapsed="false">
      <c r="A32" s="2" t="s">
        <v>26</v>
      </c>
    </row>
    <row r="33" customFormat="false" ht="15" hidden="false" customHeight="false" outlineLevel="0" collapsed="false">
      <c r="A33" s="2" t="s">
        <v>27</v>
      </c>
    </row>
    <row r="34" customFormat="false" ht="15" hidden="false" customHeight="false" outlineLevel="0" collapsed="false">
      <c r="A34" s="2" t="s">
        <v>28</v>
      </c>
    </row>
    <row r="35" customFormat="false" ht="15" hidden="false" customHeight="false" outlineLevel="0" collapsed="false">
      <c r="A35" s="2" t="s">
        <v>29</v>
      </c>
    </row>
    <row r="36" customFormat="false" ht="15" hidden="false" customHeight="false" outlineLevel="0" collapsed="false">
      <c r="A36" s="2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5" min="4" style="0" width="20"/>
    <col collapsed="false" customWidth="true" hidden="false" outlineLevel="0" max="6" min="6" style="0" width="10"/>
    <col collapsed="false" customWidth="true" hidden="false" outlineLevel="0" max="7" min="7" style="0" width="9"/>
  </cols>
  <sheetData>
    <row r="1" customFormat="false" ht="15" hidden="false" customHeight="false" outlineLevel="0" collapsed="false">
      <c r="A1" s="4" t="s">
        <v>31</v>
      </c>
      <c r="B1" s="4" t="s">
        <v>32</v>
      </c>
      <c r="C1" s="4" t="s">
        <v>33</v>
      </c>
      <c r="D1" s="4" t="s">
        <v>34</v>
      </c>
      <c r="E1" s="4" t="s">
        <v>35</v>
      </c>
      <c r="F1" s="4" t="s">
        <v>36</v>
      </c>
      <c r="G1" s="4" t="s">
        <v>37</v>
      </c>
    </row>
    <row r="2" customFormat="false" ht="15" hidden="false" customHeight="false" outlineLevel="0" collapsed="false">
      <c r="A2" s="5" t="s">
        <v>38</v>
      </c>
      <c r="B2" s="5" t="s">
        <v>39</v>
      </c>
      <c r="C2" s="5" t="s">
        <v>40</v>
      </c>
      <c r="D2" s="5"/>
      <c r="E2" s="5"/>
      <c r="F2" s="5"/>
      <c r="G2" s="5" t="s">
        <v>41</v>
      </c>
    </row>
    <row r="3" customFormat="false" ht="15" hidden="false" customHeight="false" outlineLevel="0" collapsed="false">
      <c r="A3" s="5" t="s">
        <v>42</v>
      </c>
      <c r="B3" s="5" t="s">
        <v>39</v>
      </c>
      <c r="C3" s="5" t="s">
        <v>40</v>
      </c>
      <c r="D3" s="5"/>
      <c r="E3" s="5"/>
      <c r="F3" s="5"/>
      <c r="G3" s="5" t="s">
        <v>41</v>
      </c>
    </row>
    <row r="4" customFormat="false" ht="15" hidden="false" customHeight="false" outlineLevel="0" collapsed="false">
      <c r="A4" s="5" t="s">
        <v>43</v>
      </c>
      <c r="B4" s="5" t="s">
        <v>44</v>
      </c>
      <c r="C4" s="5" t="s">
        <v>45</v>
      </c>
      <c r="D4" s="5" t="s">
        <v>42</v>
      </c>
      <c r="E4" s="5" t="s">
        <v>38</v>
      </c>
      <c r="F4" s="6" t="n">
        <v>0.95</v>
      </c>
      <c r="G4" s="5" t="s">
        <v>41</v>
      </c>
    </row>
    <row r="5" customFormat="false" ht="15" hidden="false" customHeight="false" outlineLevel="0" collapsed="false">
      <c r="A5" s="5" t="s">
        <v>46</v>
      </c>
      <c r="B5" s="5" t="s">
        <v>47</v>
      </c>
      <c r="C5" s="5" t="s">
        <v>40</v>
      </c>
      <c r="D5" s="5"/>
      <c r="E5" s="5"/>
      <c r="F5" s="5"/>
      <c r="G5" s="5" t="s">
        <v>41</v>
      </c>
    </row>
    <row r="6" customFormat="false" ht="15" hidden="false" customHeight="false" outlineLevel="0" collapsed="false">
      <c r="A6" s="5" t="s">
        <v>48</v>
      </c>
      <c r="B6" s="5" t="s">
        <v>49</v>
      </c>
      <c r="C6" s="5" t="s">
        <v>40</v>
      </c>
      <c r="D6" s="5"/>
      <c r="E6" s="5"/>
      <c r="F6" s="5"/>
      <c r="G6" s="5" t="s">
        <v>41</v>
      </c>
    </row>
    <row r="7" customFormat="false" ht="15" hidden="false" customHeight="false" outlineLevel="0" collapsed="false">
      <c r="A7" s="5" t="s">
        <v>50</v>
      </c>
      <c r="B7" s="5" t="s">
        <v>51</v>
      </c>
      <c r="C7" s="5" t="s">
        <v>52</v>
      </c>
      <c r="D7" s="5"/>
      <c r="E7" s="5"/>
      <c r="F7" s="5" t="n">
        <v>24</v>
      </c>
      <c r="G7" s="5" t="s">
        <v>53</v>
      </c>
    </row>
    <row r="8" customFormat="false" ht="15" hidden="false" customHeight="false" outlineLevel="0" collapsed="false">
      <c r="A8" s="5" t="s">
        <v>54</v>
      </c>
      <c r="B8" s="5" t="s">
        <v>55</v>
      </c>
      <c r="C8" s="5" t="s">
        <v>56</v>
      </c>
      <c r="D8" s="5"/>
      <c r="E8" s="5"/>
      <c r="F8" s="5"/>
      <c r="G8" s="5" t="s">
        <v>53</v>
      </c>
    </row>
  </sheetData>
  <dataValidations count="2">
    <dataValidation allowBlank="false" errorStyle="stop" operator="between" showDropDown="false" showErrorMessage="false" showInputMessage="false" sqref="C2:C500" type="list">
      <formula1>"Sum,Average,Last,Ratio"</formula1>
      <formula2>0</formula2>
    </dataValidation>
    <dataValidation allowBlank="false" errorStyle="stop" operator="between" showDropDown="false" showErrorMessage="false" showInputMessage="false" sqref="G2:G500" type="list">
      <formula1>"Higher,Lower"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24"/>
    <col collapsed="false" customWidth="true" hidden="false" outlineLevel="0" max="5" min="4" style="0" width="13"/>
    <col collapsed="false" customWidth="true" hidden="false" outlineLevel="0" max="6" min="6" style="0" width="30"/>
    <col collapsed="false" customWidth="true" hidden="false" outlineLevel="0" max="7" min="7" style="0" width="12"/>
  </cols>
  <sheetData>
    <row r="1" customFormat="false" ht="15" hidden="false" customHeight="false" outlineLevel="0" collapsed="false">
      <c r="A1" s="7" t="s">
        <v>57</v>
      </c>
      <c r="B1" s="7" t="s">
        <v>58</v>
      </c>
      <c r="C1" s="7" t="s">
        <v>31</v>
      </c>
      <c r="D1" s="7" t="s">
        <v>59</v>
      </c>
      <c r="E1" s="7" t="s">
        <v>60</v>
      </c>
      <c r="F1" s="7" t="s">
        <v>61</v>
      </c>
      <c r="G1" s="7" t="s">
        <v>62</v>
      </c>
    </row>
    <row r="2" customFormat="false" ht="15" hidden="false" customHeight="false" outlineLevel="0" collapsed="false">
      <c r="A2" s="8" t="n">
        <v>46296</v>
      </c>
      <c r="B2" s="5" t="s">
        <v>63</v>
      </c>
      <c r="C2" s="5" t="s">
        <v>38</v>
      </c>
      <c r="D2" s="9" t="n">
        <v>1300</v>
      </c>
      <c r="E2" s="9" t="n">
        <v>1260</v>
      </c>
      <c r="F2" s="5" t="s">
        <v>64</v>
      </c>
      <c r="G2" s="10" t="str">
        <f aca="false">IF(B2="Day",TEXT(A2,"dd/mm/yyyy"),IF(B2="Week","W"&amp;TEXT(WEEKNUM(A2,21),"00")&amp;" "&amp;YEAR(A2+3),IF(B2="Month",TEXT(A2,"mmm yyyy"),IF(B2="Quarter","Q"&amp;ROUNDUP(MONTH(A2)/3,0)&amp;" "&amp;YEAR(A2),""))))</f>
        <v>Oct 2026</v>
      </c>
    </row>
    <row r="3" customFormat="false" ht="15" hidden="false" customHeight="false" outlineLevel="0" collapsed="false">
      <c r="A3" s="8" t="n">
        <v>46327</v>
      </c>
      <c r="B3" s="5" t="s">
        <v>63</v>
      </c>
      <c r="C3" s="5" t="s">
        <v>38</v>
      </c>
      <c r="D3" s="9" t="n">
        <v>1250</v>
      </c>
      <c r="E3" s="9" t="n">
        <v>1280</v>
      </c>
      <c r="F3" s="5" t="s">
        <v>65</v>
      </c>
      <c r="G3" s="10" t="str">
        <f aca="false">IF(B3="Day",TEXT(A3,"dd/mm/yyyy"),IF(B3="Week","W"&amp;TEXT(WEEKNUM(A3,21),"00")&amp;" "&amp;YEAR(A3+3),IF(B3="Month",TEXT(A3,"mmm yyyy"),IF(B3="Quarter","Q"&amp;ROUNDUP(MONTH(A3)/3,0)&amp;" "&amp;YEAR(A3),""))))</f>
        <v>Nov 2026</v>
      </c>
    </row>
    <row r="4" customFormat="false" ht="15" hidden="false" customHeight="false" outlineLevel="0" collapsed="false">
      <c r="A4" s="8" t="n">
        <v>46357</v>
      </c>
      <c r="B4" s="5" t="s">
        <v>63</v>
      </c>
      <c r="C4" s="5" t="s">
        <v>38</v>
      </c>
      <c r="D4" s="9" t="n">
        <v>1100</v>
      </c>
      <c r="E4" s="9"/>
      <c r="F4" s="5" t="s">
        <v>66</v>
      </c>
      <c r="G4" s="10" t="str">
        <f aca="false">IF(B4="Day",TEXT(A4,"dd/mm/yyyy"),IF(B4="Week","W"&amp;TEXT(WEEKNUM(A4,21),"00")&amp;" "&amp;YEAR(A4+3),IF(B4="Month",TEXT(A4,"mmm yyyy"),IF(B4="Quarter","Q"&amp;ROUNDUP(MONTH(A4)/3,0)&amp;" "&amp;YEAR(A4),""))))</f>
        <v>Dec 2026</v>
      </c>
    </row>
    <row r="5" customFormat="false" ht="15" hidden="false" customHeight="false" outlineLevel="0" collapsed="false">
      <c r="A5" s="8" t="n">
        <v>46296</v>
      </c>
      <c r="B5" s="5" t="s">
        <v>67</v>
      </c>
      <c r="C5" s="5" t="s">
        <v>43</v>
      </c>
      <c r="D5" s="11" t="n">
        <v>0.96</v>
      </c>
      <c r="E5" s="11" t="n">
        <v>0.955</v>
      </c>
      <c r="F5" s="5" t="s">
        <v>68</v>
      </c>
      <c r="G5" s="10" t="str">
        <f aca="false">IF(B5="Day",TEXT(A5,"dd/mm/yyyy"),IF(B5="Week","W"&amp;TEXT(WEEKNUM(A5,21),"00")&amp;" "&amp;YEAR(A5+3),IF(B5="Month",TEXT(A5,"mmm yyyy"),IF(B5="Quarter","Q"&amp;ROUNDUP(MONTH(A5)/3,0)&amp;" "&amp;YEAR(A5),""))))</f>
        <v>Q4 2026</v>
      </c>
    </row>
    <row r="6" customFormat="false" ht="15" hidden="false" customHeight="false" outlineLevel="0" collapsed="false">
      <c r="A6" s="8" t="n">
        <v>46321</v>
      </c>
      <c r="B6" s="5" t="s">
        <v>69</v>
      </c>
      <c r="C6" s="5" t="s">
        <v>50</v>
      </c>
      <c r="D6" s="9" t="n">
        <v>22</v>
      </c>
      <c r="E6" s="9" t="n">
        <v>23</v>
      </c>
      <c r="F6" s="5" t="s">
        <v>70</v>
      </c>
      <c r="G6" s="10" t="str">
        <f aca="false">IF(B6="Day",TEXT(A6,"dd/mm/yyyy"),IF(B6="Week","W"&amp;TEXT(WEEKNUM(A6,21),"00")&amp;" "&amp;YEAR(A6+3),IF(B6="Month",TEXT(A6,"mmm yyyy"),IF(B6="Quarter","Q"&amp;ROUNDUP(MONTH(A6)/3,0)&amp;" "&amp;YEAR(A6),""))))</f>
        <v>W44 2026</v>
      </c>
    </row>
  </sheetData>
  <dataValidations count="2">
    <dataValidation allowBlank="false" errorStyle="stop" operator="between" showDropDown="false" showErrorMessage="false" showInputMessage="false" sqref="B2:B1006" type="list">
      <formula1>"Day,Week,Month,Quarter"</formula1>
      <formula2>0</formula2>
    </dataValidation>
    <dataValidation allowBlank="false" errorStyle="stop" operator="between" showDropDown="false" showErrorMessage="false" showInputMessage="false" sqref="C2:C1006" type="list">
      <formula1>KPIs!$A$2:$A$100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22"/>
    <col collapsed="false" customWidth="true" hidden="false" outlineLevel="0" max="6" min="6" style="0" width="8"/>
    <col collapsed="false" customWidth="true" hidden="false" outlineLevel="0" max="7" min="7" style="0" width="11"/>
    <col collapsed="false" customWidth="true" hidden="false" outlineLevel="0" max="8" min="8" style="0" width="10"/>
  </cols>
  <sheetData>
    <row r="1" customFormat="false" ht="15" hidden="false" customHeight="false" outlineLevel="0" collapsed="false">
      <c r="A1" s="4" t="s">
        <v>57</v>
      </c>
      <c r="B1" s="4" t="s">
        <v>58</v>
      </c>
      <c r="C1" s="4" t="s">
        <v>31</v>
      </c>
      <c r="D1" s="4" t="s">
        <v>71</v>
      </c>
      <c r="E1" s="4" t="s">
        <v>61</v>
      </c>
      <c r="F1" s="4" t="s">
        <v>69</v>
      </c>
      <c r="G1" s="4" t="s">
        <v>63</v>
      </c>
      <c r="H1" s="4" t="s">
        <v>67</v>
      </c>
    </row>
    <row r="2" customFormat="false" ht="15" hidden="false" customHeight="false" outlineLevel="0" collapsed="false">
      <c r="A2" s="8" t="n">
        <v>46235</v>
      </c>
      <c r="B2" s="5" t="s">
        <v>63</v>
      </c>
      <c r="C2" s="5" t="s">
        <v>38</v>
      </c>
      <c r="D2" s="12" t="n">
        <v>1185</v>
      </c>
      <c r="E2" s="5" t="s">
        <v>72</v>
      </c>
      <c r="F2" s="10" t="str">
        <f aca="false">IF(OR(B2="Day",B2="Week"),"W"&amp;TEXT(WEEKNUM(A2,21),"00"),"")</f>
        <v/>
      </c>
      <c r="G2" s="10" t="str">
        <f aca="false">IF(OR(B2="Day",B2="Month"),TEXT(A2,"mmm yyyy"),"")</f>
        <v>Aug 2026</v>
      </c>
      <c r="H2" s="10" t="str">
        <f aca="false">IF(OR(B2="Day",B2="Month"),"Q"&amp;ROUNDUP(MONTH(A2)/3,0)&amp;" "&amp;YEAR(A2),"")</f>
        <v>Q3 2026</v>
      </c>
    </row>
    <row r="3" customFormat="false" ht="15" hidden="false" customHeight="false" outlineLevel="0" collapsed="false">
      <c r="A3" s="8" t="n">
        <v>46235</v>
      </c>
      <c r="B3" s="5" t="s">
        <v>63</v>
      </c>
      <c r="C3" s="5" t="s">
        <v>42</v>
      </c>
      <c r="D3" s="12" t="n">
        <v>1120</v>
      </c>
      <c r="E3" s="5" t="s">
        <v>72</v>
      </c>
      <c r="F3" s="10" t="str">
        <f aca="false">IF(OR(B3="Day",B3="Week"),"W"&amp;TEXT(WEEKNUM(A3,21),"00"),"")</f>
        <v/>
      </c>
      <c r="G3" s="10" t="str">
        <f aca="false">IF(OR(B3="Day",B3="Month"),TEXT(A3,"mmm yyyy"),"")</f>
        <v>Aug 2026</v>
      </c>
      <c r="H3" s="10" t="str">
        <f aca="false">IF(OR(B3="Day",B3="Month"),"Q"&amp;ROUNDUP(MONTH(A3)/3,0)&amp;" "&amp;YEAR(A3),"")</f>
        <v>Q3 2026</v>
      </c>
    </row>
    <row r="4" customFormat="false" ht="15" hidden="false" customHeight="false" outlineLevel="0" collapsed="false">
      <c r="A4" s="8" t="n">
        <v>46266</v>
      </c>
      <c r="B4" s="5" t="s">
        <v>63</v>
      </c>
      <c r="C4" s="5" t="s">
        <v>38</v>
      </c>
      <c r="D4" s="12" t="n">
        <v>1240</v>
      </c>
      <c r="E4" s="5" t="s">
        <v>72</v>
      </c>
      <c r="F4" s="10" t="str">
        <f aca="false">IF(OR(B4="Day",B4="Week"),"W"&amp;TEXT(WEEKNUM(A4,21),"00"),"")</f>
        <v/>
      </c>
      <c r="G4" s="10" t="str">
        <f aca="false">IF(OR(B4="Day",B4="Month"),TEXT(A4,"mmm yyyy"),"")</f>
        <v>Sep 2026</v>
      </c>
      <c r="H4" s="10" t="str">
        <f aca="false">IF(OR(B4="Day",B4="Month"),"Q"&amp;ROUNDUP(MONTH(A4)/3,0)&amp;" "&amp;YEAR(A4),"")</f>
        <v>Q3 2026</v>
      </c>
    </row>
    <row r="5" customFormat="false" ht="15" hidden="false" customHeight="false" outlineLevel="0" collapsed="false">
      <c r="A5" s="8" t="n">
        <v>46266</v>
      </c>
      <c r="B5" s="5" t="s">
        <v>63</v>
      </c>
      <c r="C5" s="5" t="s">
        <v>42</v>
      </c>
      <c r="D5" s="12" t="n">
        <v>1181</v>
      </c>
      <c r="E5" s="5" t="s">
        <v>72</v>
      </c>
      <c r="F5" s="10" t="str">
        <f aca="false">IF(OR(B5="Day",B5="Week"),"W"&amp;TEXT(WEEKNUM(A5,21),"00"),"")</f>
        <v/>
      </c>
      <c r="G5" s="10" t="str">
        <f aca="false">IF(OR(B5="Day",B5="Month"),TEXT(A5,"mmm yyyy"),"")</f>
        <v>Sep 2026</v>
      </c>
      <c r="H5" s="10" t="str">
        <f aca="false">IF(OR(B5="Day",B5="Month"),"Q"&amp;ROUNDUP(MONTH(A5)/3,0)&amp;" "&amp;YEAR(A5),"")</f>
        <v>Q3 2026</v>
      </c>
    </row>
    <row r="6" customFormat="false" ht="15" hidden="false" customHeight="false" outlineLevel="0" collapsed="false">
      <c r="A6" s="8" t="n">
        <v>46314</v>
      </c>
      <c r="B6" s="5" t="s">
        <v>69</v>
      </c>
      <c r="C6" s="5" t="s">
        <v>38</v>
      </c>
      <c r="D6" s="12" t="n">
        <v>305</v>
      </c>
      <c r="E6" s="5" t="s">
        <v>73</v>
      </c>
      <c r="F6" s="10" t="str">
        <f aca="false">IF(OR(B6="Day",B6="Week"),"W"&amp;TEXT(WEEKNUM(A6,21),"00"),"")</f>
        <v>W43</v>
      </c>
      <c r="G6" s="10" t="str">
        <f aca="false">IF(OR(B6="Day",B6="Month"),TEXT(A6,"mmm yyyy"),"")</f>
        <v/>
      </c>
      <c r="H6" s="10" t="str">
        <f aca="false">IF(OR(B6="Day",B6="Month"),"Q"&amp;ROUNDUP(MONTH(A6)/3,0)&amp;" "&amp;YEAR(A6),"")</f>
        <v/>
      </c>
    </row>
    <row r="7" customFormat="false" ht="15" hidden="false" customHeight="false" outlineLevel="0" collapsed="false">
      <c r="A7" s="8" t="n">
        <v>46314</v>
      </c>
      <c r="B7" s="5" t="s">
        <v>69</v>
      </c>
      <c r="C7" s="5" t="s">
        <v>42</v>
      </c>
      <c r="D7" s="12" t="n">
        <v>290</v>
      </c>
      <c r="E7" s="5" t="s">
        <v>73</v>
      </c>
      <c r="F7" s="10" t="str">
        <f aca="false">IF(OR(B7="Day",B7="Week"),"W"&amp;TEXT(WEEKNUM(A7,21),"00"),"")</f>
        <v>W43</v>
      </c>
      <c r="G7" s="10" t="str">
        <f aca="false">IF(OR(B7="Day",B7="Month"),TEXT(A7,"mmm yyyy"),"")</f>
        <v/>
      </c>
      <c r="H7" s="10" t="str">
        <f aca="false">IF(OR(B7="Day",B7="Month"),"Q"&amp;ROUNDUP(MONTH(A7)/3,0)&amp;" "&amp;YEAR(A7),"")</f>
        <v/>
      </c>
    </row>
    <row r="8" customFormat="false" ht="15" hidden="false" customHeight="false" outlineLevel="0" collapsed="false">
      <c r="A8" s="8" t="n">
        <v>46323</v>
      </c>
      <c r="B8" s="5" t="s">
        <v>74</v>
      </c>
      <c r="C8" s="5" t="s">
        <v>38</v>
      </c>
      <c r="D8" s="12" t="n">
        <v>52</v>
      </c>
      <c r="E8" s="5"/>
      <c r="F8" s="10" t="str">
        <f aca="false">IF(OR(B8="Day",B8="Week"),"W"&amp;TEXT(WEEKNUM(A8,21),"00"),"")</f>
        <v>W44</v>
      </c>
      <c r="G8" s="10" t="str">
        <f aca="false">IF(OR(B8="Day",B8="Month"),TEXT(A8,"mmm yyyy"),"")</f>
        <v>Oct 2026</v>
      </c>
      <c r="H8" s="10" t="str">
        <f aca="false">IF(OR(B8="Day",B8="Month"),"Q"&amp;ROUNDUP(MONTH(A8)/3,0)&amp;" "&amp;YEAR(A8),"")</f>
        <v>Q4 2026</v>
      </c>
    </row>
    <row r="9" customFormat="false" ht="15" hidden="false" customHeight="false" outlineLevel="0" collapsed="false">
      <c r="A9" s="8" t="n">
        <v>46323</v>
      </c>
      <c r="B9" s="5" t="s">
        <v>74</v>
      </c>
      <c r="C9" s="5" t="s">
        <v>42</v>
      </c>
      <c r="D9" s="12" t="n">
        <v>50</v>
      </c>
      <c r="E9" s="5"/>
      <c r="F9" s="10" t="str">
        <f aca="false">IF(OR(B9="Day",B9="Week"),"W"&amp;TEXT(WEEKNUM(A9,21),"00"),"")</f>
        <v>W44</v>
      </c>
      <c r="G9" s="10" t="str">
        <f aca="false">IF(OR(B9="Day",B9="Month"),TEXT(A9,"mmm yyyy"),"")</f>
        <v>Oct 2026</v>
      </c>
      <c r="H9" s="10" t="str">
        <f aca="false">IF(OR(B9="Day",B9="Month"),"Q"&amp;ROUNDUP(MONTH(A9)/3,0)&amp;" "&amp;YEAR(A9),"")</f>
        <v>Q4 2026</v>
      </c>
    </row>
    <row r="10" customFormat="false" ht="15" hidden="false" customHeight="false" outlineLevel="0" collapsed="false">
      <c r="A10" s="8" t="n">
        <v>46323</v>
      </c>
      <c r="B10" s="5" t="s">
        <v>74</v>
      </c>
      <c r="C10" s="5" t="s">
        <v>46</v>
      </c>
      <c r="D10" s="12" t="n">
        <v>9</v>
      </c>
      <c r="E10" s="5"/>
      <c r="F10" s="10" t="str">
        <f aca="false">IF(OR(B10="Day",B10="Week"),"W"&amp;TEXT(WEEKNUM(A10,21),"00"),"")</f>
        <v>W44</v>
      </c>
      <c r="G10" s="10" t="str">
        <f aca="false">IF(OR(B10="Day",B10="Month"),TEXT(A10,"mmm yyyy"),"")</f>
        <v>Oct 2026</v>
      </c>
      <c r="H10" s="10" t="str">
        <f aca="false">IF(OR(B10="Day",B10="Month"),"Q"&amp;ROUNDUP(MONTH(A10)/3,0)&amp;" "&amp;YEAR(A10),"")</f>
        <v>Q4 2026</v>
      </c>
    </row>
    <row r="11" customFormat="false" ht="15" hidden="false" customHeight="false" outlineLevel="0" collapsed="false">
      <c r="A11" s="8" t="n">
        <v>46323</v>
      </c>
      <c r="B11" s="5" t="s">
        <v>74</v>
      </c>
      <c r="C11" s="5" t="s">
        <v>50</v>
      </c>
      <c r="D11" s="12" t="n">
        <v>20.5</v>
      </c>
      <c r="E11" s="5"/>
      <c r="F11" s="10" t="str">
        <f aca="false">IF(OR(B11="Day",B11="Week"),"W"&amp;TEXT(WEEKNUM(A11,21),"00"),"")</f>
        <v>W44</v>
      </c>
      <c r="G11" s="10" t="str">
        <f aca="false">IF(OR(B11="Day",B11="Month"),TEXT(A11,"mmm yyyy"),"")</f>
        <v>Oct 2026</v>
      </c>
      <c r="H11" s="10" t="str">
        <f aca="false">IF(OR(B11="Day",B11="Month"),"Q"&amp;ROUNDUP(MONTH(A11)/3,0)&amp;" "&amp;YEAR(A11),"")</f>
        <v>Q4 2026</v>
      </c>
    </row>
    <row r="12" customFormat="false" ht="15" hidden="false" customHeight="false" outlineLevel="0" collapsed="false">
      <c r="A12" s="8" t="n">
        <v>46323</v>
      </c>
      <c r="B12" s="5" t="s">
        <v>74</v>
      </c>
      <c r="C12" s="5" t="s">
        <v>54</v>
      </c>
      <c r="D12" s="12" t="n">
        <v>4850000</v>
      </c>
      <c r="E12" s="5"/>
      <c r="F12" s="10" t="str">
        <f aca="false">IF(OR(B12="Day",B12="Week"),"W"&amp;TEXT(WEEKNUM(A12,21),"00"),"")</f>
        <v>W44</v>
      </c>
      <c r="G12" s="10" t="str">
        <f aca="false">IF(OR(B12="Day",B12="Month"),TEXT(A12,"mmm yyyy"),"")</f>
        <v>Oct 2026</v>
      </c>
      <c r="H12" s="10" t="str">
        <f aca="false">IF(OR(B12="Day",B12="Month"),"Q"&amp;ROUNDUP(MONTH(A12)/3,0)&amp;" "&amp;YEAR(A12),"")</f>
        <v>Q4 2026</v>
      </c>
    </row>
    <row r="13" customFormat="false" ht="15" hidden="false" customHeight="false" outlineLevel="0" collapsed="false">
      <c r="A13" s="8" t="n">
        <v>46324</v>
      </c>
      <c r="B13" s="5" t="s">
        <v>74</v>
      </c>
      <c r="C13" s="5" t="s">
        <v>38</v>
      </c>
      <c r="D13" s="12" t="n">
        <v>48</v>
      </c>
      <c r="E13" s="5"/>
      <c r="F13" s="10" t="str">
        <f aca="false">IF(OR(B13="Day",B13="Week"),"W"&amp;TEXT(WEEKNUM(A13,21),"00"),"")</f>
        <v>W44</v>
      </c>
      <c r="G13" s="10" t="str">
        <f aca="false">IF(OR(B13="Day",B13="Month"),TEXT(A13,"mmm yyyy"),"")</f>
        <v>Oct 2026</v>
      </c>
      <c r="H13" s="10" t="str">
        <f aca="false">IF(OR(B13="Day",B13="Month"),"Q"&amp;ROUNDUP(MONTH(A13)/3,0)&amp;" "&amp;YEAR(A13),"")</f>
        <v>Q4 2026</v>
      </c>
    </row>
    <row r="14" customFormat="false" ht="15" hidden="false" customHeight="false" outlineLevel="0" collapsed="false">
      <c r="A14" s="8" t="n">
        <v>46324</v>
      </c>
      <c r="B14" s="5" t="s">
        <v>74</v>
      </c>
      <c r="C14" s="5" t="s">
        <v>42</v>
      </c>
      <c r="D14" s="12" t="n">
        <v>47</v>
      </c>
      <c r="E14" s="5" t="s">
        <v>75</v>
      </c>
      <c r="F14" s="10" t="str">
        <f aca="false">IF(OR(B14="Day",B14="Week"),"W"&amp;TEXT(WEEKNUM(A14,21),"00"),"")</f>
        <v>W44</v>
      </c>
      <c r="G14" s="10" t="str">
        <f aca="false">IF(OR(B14="Day",B14="Month"),TEXT(A14,"mmm yyyy"),"")</f>
        <v>Oct 2026</v>
      </c>
      <c r="H14" s="10" t="str">
        <f aca="false">IF(OR(B14="Day",B14="Month"),"Q"&amp;ROUNDUP(MONTH(A14)/3,0)&amp;" "&amp;YEAR(A14),"")</f>
        <v>Q4 2026</v>
      </c>
    </row>
    <row r="15" customFormat="false" ht="15" hidden="false" customHeight="false" outlineLevel="0" collapsed="false">
      <c r="A15" s="8" t="n">
        <v>46324</v>
      </c>
      <c r="B15" s="5" t="s">
        <v>74</v>
      </c>
      <c r="C15" s="5" t="s">
        <v>46</v>
      </c>
      <c r="D15" s="12" t="n">
        <v>8</v>
      </c>
      <c r="E15" s="5"/>
      <c r="F15" s="10" t="str">
        <f aca="false">IF(OR(B15="Day",B15="Week"),"W"&amp;TEXT(WEEKNUM(A15,21),"00"),"")</f>
        <v>W44</v>
      </c>
      <c r="G15" s="10" t="str">
        <f aca="false">IF(OR(B15="Day",B15="Month"),TEXT(A15,"mmm yyyy"),"")</f>
        <v>Oct 2026</v>
      </c>
      <c r="H15" s="10" t="str">
        <f aca="false">IF(OR(B15="Day",B15="Month"),"Q"&amp;ROUNDUP(MONTH(A15)/3,0)&amp;" "&amp;YEAR(A15),"")</f>
        <v>Q4 2026</v>
      </c>
    </row>
    <row r="16" customFormat="false" ht="15" hidden="false" customHeight="false" outlineLevel="0" collapsed="false">
      <c r="A16" s="8" t="n">
        <v>46324</v>
      </c>
      <c r="B16" s="5" t="s">
        <v>74</v>
      </c>
      <c r="C16" s="5" t="s">
        <v>50</v>
      </c>
      <c r="D16" s="12" t="n">
        <v>22</v>
      </c>
      <c r="E16" s="5"/>
      <c r="F16" s="10" t="str">
        <f aca="false">IF(OR(B16="Day",B16="Week"),"W"&amp;TEXT(WEEKNUM(A16,21),"00"),"")</f>
        <v>W44</v>
      </c>
      <c r="G16" s="10" t="str">
        <f aca="false">IF(OR(B16="Day",B16="Month"),TEXT(A16,"mmm yyyy"),"")</f>
        <v>Oct 2026</v>
      </c>
      <c r="H16" s="10" t="str">
        <f aca="false">IF(OR(B16="Day",B16="Month"),"Q"&amp;ROUNDUP(MONTH(A16)/3,0)&amp;" "&amp;YEAR(A16),"")</f>
        <v>Q4 2026</v>
      </c>
    </row>
    <row r="17" customFormat="false" ht="15" hidden="false" customHeight="false" outlineLevel="0" collapsed="false">
      <c r="A17" s="8" t="n">
        <v>46324</v>
      </c>
      <c r="B17" s="5" t="s">
        <v>74</v>
      </c>
      <c r="C17" s="5" t="s">
        <v>54</v>
      </c>
      <c r="D17" s="12" t="n">
        <v>4790000</v>
      </c>
      <c r="E17" s="5"/>
      <c r="F17" s="10" t="str">
        <f aca="false">IF(OR(B17="Day",B17="Week"),"W"&amp;TEXT(WEEKNUM(A17,21),"00"),"")</f>
        <v>W44</v>
      </c>
      <c r="G17" s="10" t="str">
        <f aca="false">IF(OR(B17="Day",B17="Month"),TEXT(A17,"mmm yyyy"),"")</f>
        <v>Oct 2026</v>
      </c>
      <c r="H17" s="10" t="str">
        <f aca="false">IF(OR(B17="Day",B17="Month"),"Q"&amp;ROUNDUP(MONTH(A17)/3,0)&amp;" "&amp;YEAR(A17),"")</f>
        <v>Q4 2026</v>
      </c>
    </row>
  </sheetData>
  <dataValidations count="3">
    <dataValidation allowBlank="false" errorStyle="stop" operator="between" showDropDown="false" showErrorMessage="false" showInputMessage="false" sqref="C2:C1017" type="list">
      <formula1>KPIs!$A$2:$A$100</formula1>
      <formula2>0</formula2>
    </dataValidation>
    <dataValidation allowBlank="false" errorStyle="stop" operator="between" showDropDown="false" showErrorMessage="false" showInputMessage="false" sqref="B2:B1017" type="list">
      <formula1>"Day,Week,Month"</formula1>
      <formula2>0</formula2>
    </dataValidation>
    <dataValidation allowBlank="false" errorStyle="stop" operator="greaterThan" showDropDown="false" showErrorMessage="false" showInputMessage="false" sqref="A2:A1017" type="date">
      <formula1>36526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2026-10-29T17:51:03Z</dcterms:created>
  <dc:creator>openpyxl</dc:creator>
  <dc:description/>
  <dc:language>en-US</dc:language>
  <cp:lastModifiedBy/>
  <dcterms:modified xsi:type="dcterms:W3CDTF">2026-10-29T17:51:03Z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